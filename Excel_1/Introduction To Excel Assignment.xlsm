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/>
  <workbookPr/>
  <mc:AlternateContent xmlns:mc="http://schemas.openxmlformats.org/markup-compatibility/2006">
    <mc:Choice Requires="x15">
      <x15ac:absPath xmlns:x15ac="http://schemas.microsoft.com/office/spreadsheetml/2010/11/ac" url="https://d.docs.live.net/8f46bf7cc88d5f29/Desktop/"/>
    </mc:Choice>
  </mc:AlternateContent>
  <xr:revisionPtr revIDLastSave="0" documentId="8_{9DF5D4EC-BC2D-45E3-9E90-E721B04FF235}" xr6:coauthVersionLast="47" xr6:coauthVersionMax="47" xr10:uidLastSave="{00000000-0000-0000-0000-000000000000}"/>
  <bookViews>
    <workbookView xWindow="-108" yWindow="-108" windowWidth="23256" windowHeight="12456" tabRatio="762" firstSheet="20" activeTab="29" xr2:uid="{00000000-000D-0000-FFFF-FFFF00000000}"/>
  </bookViews>
  <sheets>
    <sheet name="Average 1 (4)" sheetId="1" r:id="rId1"/>
    <sheet name="Average 3" sheetId="2" r:id="rId2"/>
    <sheet name="Count 1" sheetId="3" r:id="rId3"/>
    <sheet name="Count 2" sheetId="4" r:id="rId4"/>
    <sheet name="Count 3" sheetId="5" r:id="rId5"/>
    <sheet name="HLOOKUP" sheetId="6" r:id="rId6"/>
    <sheet name="IF 1 (1)" sheetId="7" r:id="rId7"/>
    <sheet name="IF 2" sheetId="8" r:id="rId8"/>
    <sheet name="IF 3" sheetId="9" r:id="rId9"/>
    <sheet name="IF 4" sheetId="10" r:id="rId10"/>
    <sheet name="LEC MACROS 1.1 TASK1" sheetId="11" r:id="rId11"/>
    <sheet name="LEC MACROS 1.1 ANS1" sheetId="12" r:id="rId12"/>
    <sheet name="LEC MACROS 1.1 TASK2" sheetId="13" r:id="rId13"/>
    <sheet name="LEC MACROS 1.1 ANS2" sheetId="14" r:id="rId14"/>
    <sheet name="MAX MIN 1" sheetId="15" r:id="rId15"/>
    <sheet name="MAX MIN 2" sheetId="16" r:id="rId16"/>
    <sheet name="MAX MIN 3" sheetId="17" r:id="rId17"/>
    <sheet name="MATH 1" sheetId="18" r:id="rId18"/>
    <sheet name="NESTED IF" sheetId="19" r:id="rId19"/>
    <sheet name="PRACTISE DATA" sheetId="20" r:id="rId20"/>
    <sheet name="SUM1 " sheetId="21" r:id="rId21"/>
    <sheet name="SUM2" sheetId="22" r:id="rId22"/>
    <sheet name="SUM3" sheetId="23" r:id="rId23"/>
    <sheet name="SUMIF1" sheetId="24" r:id="rId24"/>
    <sheet name="SUMIF2" sheetId="25" r:id="rId25"/>
    <sheet name="VBA_TASK" sheetId="26" r:id="rId26"/>
    <sheet name="VBA_ANS" sheetId="27" r:id="rId27"/>
    <sheet name="VLOOKUP-APPROXIMATE MATCH" sheetId="29" r:id="rId28"/>
    <sheet name="VLOOK 1" sheetId="30" r:id="rId29"/>
    <sheet name="VLOOK UP 2a" sheetId="31" r:id="rId3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31" l="1"/>
  <c r="C30" i="31"/>
  <c r="C19" i="31"/>
  <c r="C33" i="30"/>
  <c r="C32" i="30"/>
  <c r="C31" i="30"/>
  <c r="C26" i="30"/>
  <c r="C25" i="30"/>
  <c r="C24" i="30"/>
  <c r="E19" i="30"/>
  <c r="E17" i="30"/>
  <c r="B9" i="29"/>
  <c r="B8" i="29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F40" i="25" l="1"/>
  <c r="E40" i="25"/>
  <c r="C40" i="25" s="1"/>
  <c r="C29" i="25"/>
  <c r="C18" i="25"/>
  <c r="H21" i="24"/>
  <c r="H20" i="24"/>
  <c r="H18" i="24"/>
  <c r="H16" i="24"/>
  <c r="H15" i="24"/>
  <c r="C20" i="23"/>
  <c r="C19" i="23"/>
  <c r="C21" i="23" s="1"/>
  <c r="C16" i="23"/>
  <c r="C13" i="23"/>
  <c r="C10" i="23"/>
  <c r="C7" i="23"/>
  <c r="C4" i="23"/>
  <c r="B95" i="22"/>
  <c r="B18" i="21"/>
  <c r="C12" i="19"/>
  <c r="C11" i="19"/>
  <c r="C10" i="19"/>
  <c r="C9" i="19"/>
  <c r="D25" i="18"/>
  <c r="D24" i="18"/>
  <c r="D20" i="18"/>
  <c r="D19" i="18"/>
  <c r="D18" i="18"/>
  <c r="D14" i="18"/>
  <c r="D13" i="18"/>
  <c r="D12" i="18"/>
  <c r="D11" i="18"/>
  <c r="D12" i="17"/>
  <c r="C12" i="17" s="1"/>
  <c r="H11" i="16"/>
  <c r="G11" i="16"/>
  <c r="H10" i="16"/>
  <c r="G10" i="16" s="1"/>
  <c r="H9" i="16"/>
  <c r="G9" i="16"/>
  <c r="H8" i="16"/>
  <c r="G8" i="16"/>
  <c r="C14" i="15"/>
  <c r="C13" i="15"/>
  <c r="C12" i="15"/>
  <c r="D17" i="10"/>
  <c r="D16" i="10"/>
  <c r="D15" i="10"/>
  <c r="D14" i="10"/>
  <c r="D13" i="10"/>
  <c r="D12" i="10"/>
  <c r="D11" i="10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D10" i="8"/>
  <c r="D9" i="8"/>
  <c r="D8" i="8"/>
  <c r="D7" i="8"/>
  <c r="C10" i="7"/>
  <c r="C9" i="7"/>
  <c r="C8" i="7"/>
  <c r="C7" i="7"/>
  <c r="C12" i="6"/>
  <c r="C23" i="6"/>
  <c r="C33" i="6"/>
  <c r="D27" i="5"/>
  <c r="C27" i="5"/>
  <c r="B27" i="5"/>
  <c r="D24" i="5"/>
  <c r="C24" i="5"/>
  <c r="B24" i="5"/>
  <c r="B21" i="5"/>
  <c r="B18" i="5"/>
  <c r="B27" i="4"/>
  <c r="B21" i="4"/>
  <c r="B18" i="3"/>
  <c r="B15" i="3"/>
  <c r="B24" i="2"/>
  <c r="D23" i="2"/>
  <c r="C23" i="2"/>
  <c r="B23" i="2"/>
  <c r="B18" i="2"/>
  <c r="B17" i="2"/>
  <c r="B16" i="2"/>
  <c r="D20" i="1"/>
  <c r="D18" i="1"/>
  <c r="D16" i="1"/>
  <c r="D22" i="1"/>
</calcChain>
</file>

<file path=xl/sharedStrings.xml><?xml version="1.0" encoding="utf-8"?>
<sst xmlns="http://schemas.openxmlformats.org/spreadsheetml/2006/main" count="16488" uniqueCount="4459">
  <si>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</si>
  <si>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</si>
  <si>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</si>
  <si>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</si>
  <si>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</si>
  <si>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</si>
  <si>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</si>
  <si>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</si>
  <si>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</si>
  <si>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</si>
  <si>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</si>
  <si>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</si>
  <si>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</si>
  <si>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</si>
  <si>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</si>
  <si>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</si>
  <si>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</si>
  <si>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</si>
  <si>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</si>
  <si>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</si>
  <si>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</si>
  <si>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</si>
  <si>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</si>
  <si>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</si>
  <si>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</si>
  <si>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</si>
  <si>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</si>
  <si>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</si>
  <si>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</si>
  <si>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</si>
  <si>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</si>
  <si>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</si>
  <si>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</si>
  <si>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</si>
  <si>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</si>
  <si>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</si>
  <si>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</si>
  <si>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</si>
  <si>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</si>
  <si>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</si>
  <si>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</si>
  <si>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</si>
  <si>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</si>
  <si>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</si>
  <si>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</si>
  <si>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</si>
  <si>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</si>
  <si>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</si>
  <si>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</si>
  <si>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</si>
  <si>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</si>
  <si>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</si>
  <si>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</si>
  <si>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</si>
  <si>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</si>
  <si>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</si>
  <si>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</si>
  <si>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</si>
  <si>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</si>
  <si>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</si>
  <si>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</si>
  <si>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</si>
  <si>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</si>
  <si>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</si>
  <si>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</si>
  <si>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</si>
  <si>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</si>
  <si>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</si>
  <si>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</si>
  <si>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</si>
  <si>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</si>
  <si>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</si>
  <si>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</si>
  <si>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</si>
  <si>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</si>
  <si>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</si>
  <si>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</si>
  <si>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</si>
  <si>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</si>
  <si>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</si>
  <si>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</si>
  <si>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</si>
  <si>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</si>
  <si>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</si>
  <si>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</si>
  <si>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</si>
  <si>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</si>
  <si>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</si>
  <si>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</si>
  <si>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numerical</t>
  </si>
  <si>
    <t>Text and Numerical</t>
  </si>
  <si>
    <t>Blank Cells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</si>
  <si>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</si>
  <si>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</si>
  <si>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</si>
  <si>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</si>
  <si>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</si>
  <si>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</si>
  <si>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</si>
  <si>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</si>
  <si>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</si>
  <si>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</si>
  <si>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</si>
  <si>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</si>
  <si>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</si>
  <si>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</si>
  <si>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</si>
  <si>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</si>
  <si>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</si>
  <si>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</si>
  <si>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</si>
  <si>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</si>
  <si>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</si>
  <si>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</si>
  <si>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</si>
  <si>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</si>
  <si>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</si>
  <si>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</si>
  <si>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</si>
  <si>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</si>
  <si>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</si>
  <si>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</si>
  <si>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</si>
  <si>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</si>
  <si>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</si>
  <si>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</si>
  <si>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</si>
  <si>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</si>
  <si>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</si>
  <si>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</si>
  <si>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</si>
  <si>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</si>
  <si>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</si>
  <si>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</si>
  <si>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</si>
  <si>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</si>
  <si>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</si>
  <si>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</si>
  <si>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</si>
  <si>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</si>
  <si>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</si>
  <si>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</si>
  <si>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</si>
  <si>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</si>
  <si>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</si>
  <si>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</si>
  <si>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</si>
  <si>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</si>
  <si>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</si>
  <si>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</si>
  <si>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</si>
  <si>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</si>
  <si>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</si>
  <si>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</si>
  <si>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</si>
  <si>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</si>
  <si>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</si>
  <si>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</si>
  <si>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</si>
  <si>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</si>
  <si>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</si>
  <si>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</si>
  <si>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</si>
  <si>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</si>
  <si>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</si>
  <si>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</si>
  <si>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</si>
  <si>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</si>
  <si>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</si>
  <si>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Aarav,Patel,50000,30</t>
  </si>
  <si>
    <t>Aisha,Kumar,60000,35</t>
  </si>
  <si>
    <t>Amit,Sharma,75000,40</t>
  </si>
  <si>
    <t xml:space="preserve">Note </t>
  </si>
  <si>
    <t>Ananya,Choudhury,55000,28</t>
  </si>
  <si>
    <t>Use Macro 3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</si>
  <si>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</si>
  <si>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</si>
  <si>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</si>
  <si>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</si>
  <si>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</si>
  <si>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</si>
  <si>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</si>
  <si>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</si>
  <si>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</si>
  <si>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</si>
  <si>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</si>
  <si>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</si>
  <si>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</si>
  <si>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</si>
  <si>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</si>
  <si>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</si>
  <si>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Sr no</t>
  </si>
  <si>
    <t>First name</t>
  </si>
  <si>
    <t>Last name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</si>
  <si>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</si>
  <si>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</si>
  <si>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</si>
  <si>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</si>
  <si>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</si>
  <si>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</si>
  <si>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</si>
  <si>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</si>
  <si>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</si>
  <si>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</si>
  <si>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</si>
  <si>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</si>
  <si>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</si>
  <si>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</si>
  <si>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</si>
  <si>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</si>
  <si>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</si>
  <si>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</si>
  <si>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</si>
  <si>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</si>
  <si>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</si>
  <si>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</si>
  <si>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</si>
  <si>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</si>
  <si>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</si>
  <si>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</si>
  <si>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</si>
  <si>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</si>
  <si>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</si>
  <si>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</si>
  <si>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</si>
  <si>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</si>
  <si>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</si>
  <si>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</si>
  <si>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</si>
  <si>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</si>
  <si>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</si>
  <si>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</si>
  <si>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</si>
  <si>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</si>
  <si>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</si>
  <si>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</si>
  <si>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</si>
  <si>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</si>
  <si>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</si>
  <si>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</si>
  <si>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</si>
  <si>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</si>
  <si>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</si>
  <si>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</si>
  <si>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</si>
  <si>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</si>
  <si>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</si>
  <si>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</si>
  <si>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</si>
  <si>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</si>
  <si>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</si>
  <si>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</si>
  <si>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</si>
  <si>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</si>
  <si>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</si>
  <si>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</si>
  <si>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</si>
  <si>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</si>
  <si>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</si>
  <si>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</si>
  <si>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</si>
  <si>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</si>
  <si>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</si>
  <si>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</si>
  <si>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</si>
  <si>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</si>
  <si>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</si>
  <si>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</si>
  <si>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</si>
  <si>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</si>
  <si>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</si>
  <si>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</si>
  <si>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</si>
  <si>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</si>
  <si>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</si>
  <si>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</si>
  <si>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</si>
  <si>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</si>
  <si>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</si>
  <si>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</si>
  <si>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</si>
  <si>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</si>
  <si>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</si>
  <si>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</si>
  <si>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</si>
  <si>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</si>
  <si>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</si>
  <si>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</si>
  <si>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</si>
  <si>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</si>
  <si>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</si>
  <si>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</si>
  <si>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</si>
  <si>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</si>
  <si>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</si>
  <si>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</si>
  <si>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</si>
  <si>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</si>
  <si>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</si>
  <si>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</si>
  <si>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</si>
  <si>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</si>
  <si>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</si>
  <si>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</si>
  <si>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</si>
  <si>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</si>
  <si>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</si>
  <si>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</si>
  <si>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</si>
  <si>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</si>
  <si>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</si>
  <si>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</si>
  <si>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</si>
  <si>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</si>
  <si>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</si>
  <si>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</si>
  <si>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</si>
  <si>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</si>
  <si>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</si>
  <si>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</si>
  <si>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</si>
  <si>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</si>
  <si>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</si>
  <si>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</si>
  <si>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</si>
  <si>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</si>
  <si>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</si>
  <si>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</si>
  <si>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</si>
  <si>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</si>
  <si>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</si>
  <si>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</si>
  <si>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</si>
  <si>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</si>
  <si>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</si>
  <si>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</si>
  <si>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</si>
  <si>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</si>
  <si>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</si>
  <si>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</si>
  <si>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</si>
  <si>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</si>
  <si>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</si>
  <si>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</si>
  <si>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</si>
  <si>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</si>
  <si>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</si>
  <si>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JE Code</t>
  </si>
  <si>
    <t>Store</t>
  </si>
  <si>
    <t>Country</t>
  </si>
  <si>
    <t>Region</t>
  </si>
  <si>
    <t>Date</t>
  </si>
  <si>
    <t>Item</t>
  </si>
  <si>
    <t>Salesperson</t>
  </si>
  <si>
    <t>List Price</t>
  </si>
  <si>
    <t>Actual Price</t>
  </si>
  <si>
    <t>Discount %</t>
  </si>
  <si>
    <t>I-1001</t>
  </si>
  <si>
    <t>Moscow</t>
  </si>
  <si>
    <t>Russia</t>
  </si>
  <si>
    <t>EMEA</t>
  </si>
  <si>
    <t>Microwave</t>
  </si>
  <si>
    <t>May Wilmot</t>
  </si>
  <si>
    <t>I-1002</t>
  </si>
  <si>
    <t>Toronto</t>
  </si>
  <si>
    <t>Canada</t>
  </si>
  <si>
    <t>NA</t>
  </si>
  <si>
    <t>4/23/2015</t>
  </si>
  <si>
    <t>David Shiner</t>
  </si>
  <si>
    <t>I-1003</t>
  </si>
  <si>
    <t>Sao Paolo</t>
  </si>
  <si>
    <t>Brazil</t>
  </si>
  <si>
    <t>LATAM</t>
  </si>
  <si>
    <t>Air conditioner</t>
  </si>
  <si>
    <t>Gary Reynolds</t>
  </si>
  <si>
    <t>I-1004</t>
  </si>
  <si>
    <t>Istanbul</t>
  </si>
  <si>
    <t>Turkey</t>
  </si>
  <si>
    <t>8/14/2018</t>
  </si>
  <si>
    <t>Ceiling fan</t>
  </si>
  <si>
    <t>Mark Buntain</t>
  </si>
  <si>
    <t>I-1005</t>
  </si>
  <si>
    <t>Sydney</t>
  </si>
  <si>
    <t>Australia</t>
  </si>
  <si>
    <t>APAC</t>
  </si>
  <si>
    <t>Toaster</t>
  </si>
  <si>
    <t>Christine Davies</t>
  </si>
  <si>
    <t>I-1006</t>
  </si>
  <si>
    <t>Shenzhen</t>
  </si>
  <si>
    <t>China</t>
  </si>
  <si>
    <t>4/25/2016</t>
  </si>
  <si>
    <t>Iron</t>
  </si>
  <si>
    <t>Gary Shaw</t>
  </si>
  <si>
    <t>I-1007</t>
  </si>
  <si>
    <t>Lima</t>
  </si>
  <si>
    <t>Peru</t>
  </si>
  <si>
    <t>Dishwasher</t>
  </si>
  <si>
    <t>Christopher Cresswell</t>
  </si>
  <si>
    <t>I-1008</t>
  </si>
  <si>
    <t>Tijuana</t>
  </si>
  <si>
    <t>Mexico</t>
  </si>
  <si>
    <t>Gillian Allnutt</t>
  </si>
  <si>
    <t>I-1009</t>
  </si>
  <si>
    <t>London</t>
  </si>
  <si>
    <t>UK</t>
  </si>
  <si>
    <t>Washing Machine</t>
  </si>
  <si>
    <t>Francis Godden</t>
  </si>
  <si>
    <t>I-1010</t>
  </si>
  <si>
    <t>I-1011</t>
  </si>
  <si>
    <t>Riyadh</t>
  </si>
  <si>
    <t>Saudi Arabia</t>
  </si>
  <si>
    <t>Refrigerator</t>
  </si>
  <si>
    <t>Danny Brooks</t>
  </si>
  <si>
    <t>I-1012</t>
  </si>
  <si>
    <t>Bangkok</t>
  </si>
  <si>
    <t>Thailand</t>
  </si>
  <si>
    <t>8/21/2014</t>
  </si>
  <si>
    <t>John Jenkins</t>
  </si>
  <si>
    <t>I-1013</t>
  </si>
  <si>
    <t>Richard Allnutt</t>
  </si>
  <si>
    <t>I-1014</t>
  </si>
  <si>
    <t>Delhi</t>
  </si>
  <si>
    <t>India</t>
  </si>
  <si>
    <t>5/30/2014</t>
  </si>
  <si>
    <t>Oven</t>
  </si>
  <si>
    <t>Tessa Morrow</t>
  </si>
  <si>
    <t>I-1015</t>
  </si>
  <si>
    <t>James Ricketts</t>
  </si>
  <si>
    <t>I-1016</t>
  </si>
  <si>
    <t>Ho Chi Minh City</t>
  </si>
  <si>
    <t>Vietnam</t>
  </si>
  <si>
    <t>5/24/2015</t>
  </si>
  <si>
    <t>Susan Dixon</t>
  </si>
  <si>
    <t>I-1017</t>
  </si>
  <si>
    <t>Tel Aviv</t>
  </si>
  <si>
    <t>Israel</t>
  </si>
  <si>
    <t>Thomas Gordon</t>
  </si>
  <si>
    <t>I-1018</t>
  </si>
  <si>
    <t>Athens</t>
  </si>
  <si>
    <t>Greece</t>
  </si>
  <si>
    <t>David Walker</t>
  </si>
  <si>
    <t>I-1019</t>
  </si>
  <si>
    <t>Robin Hall</t>
  </si>
  <si>
    <t>I-1020</t>
  </si>
  <si>
    <t>Osaka</t>
  </si>
  <si>
    <t>Japan</t>
  </si>
  <si>
    <t>7/23/2016</t>
  </si>
  <si>
    <t>Kenneth Walter</t>
  </si>
  <si>
    <t>I-1021</t>
  </si>
  <si>
    <t>Prague</t>
  </si>
  <si>
    <t>Czech Republic</t>
  </si>
  <si>
    <t>9/28/2017</t>
  </si>
  <si>
    <t>Edward Khan</t>
  </si>
  <si>
    <t>I-1022</t>
  </si>
  <si>
    <t>Capetown</t>
  </si>
  <si>
    <t>South Africa</t>
  </si>
  <si>
    <t>4/17/2015</t>
  </si>
  <si>
    <t>Nicholas Holloway</t>
  </si>
  <si>
    <t>I-1023</t>
  </si>
  <si>
    <t>Bangalore</t>
  </si>
  <si>
    <t>11/13/2018</t>
  </si>
  <si>
    <t>Coffee grinder</t>
  </si>
  <si>
    <t>Delia Muhammad</t>
  </si>
  <si>
    <t>I-1024</t>
  </si>
  <si>
    <t>Seattle</t>
  </si>
  <si>
    <t>USA</t>
  </si>
  <si>
    <t>2/13/2018</t>
  </si>
  <si>
    <t>Lesleyann Pope</t>
  </si>
  <si>
    <t>I-1025</t>
  </si>
  <si>
    <t>Jerusalem</t>
  </si>
  <si>
    <t>2/20/2018</t>
  </si>
  <si>
    <t>Susan Carley</t>
  </si>
  <si>
    <t>I-1026</t>
  </si>
  <si>
    <t>Birmingham</t>
  </si>
  <si>
    <t>3/22/2016</t>
  </si>
  <si>
    <t>Vacuum Cleaner</t>
  </si>
  <si>
    <t>Damien Smith</t>
  </si>
  <si>
    <t>I-1027</t>
  </si>
  <si>
    <t>Seoul</t>
  </si>
  <si>
    <t>South Korea</t>
  </si>
  <si>
    <t>Steven Wood</t>
  </si>
  <si>
    <t>I-1028</t>
  </si>
  <si>
    <t>1/23/2016</t>
  </si>
  <si>
    <t>Blender</t>
  </si>
  <si>
    <t>I-1029</t>
  </si>
  <si>
    <t>Guangzhou</t>
  </si>
  <si>
    <t>10/28/2015</t>
  </si>
  <si>
    <t>Glenys Wright</t>
  </si>
  <si>
    <t>I-1030</t>
  </si>
  <si>
    <t>Berlin</t>
  </si>
  <si>
    <t>Germany</t>
  </si>
  <si>
    <t>12/14/2017</t>
  </si>
  <si>
    <t>Kate Pearce</t>
  </si>
  <si>
    <t>I-1031</t>
  </si>
  <si>
    <t>Kansas City</t>
  </si>
  <si>
    <t>Robert Arnold</t>
  </si>
  <si>
    <t>I-1032</t>
  </si>
  <si>
    <t>Tokyo</t>
  </si>
  <si>
    <t>10/19/2014</t>
  </si>
  <si>
    <t>David Gow</t>
  </si>
  <si>
    <t>I-1033</t>
  </si>
  <si>
    <t>Darren Brooks</t>
  </si>
  <si>
    <t>I-1034</t>
  </si>
  <si>
    <t>12/13/2018</t>
  </si>
  <si>
    <t>I-1035</t>
  </si>
  <si>
    <t>10/13/2015</t>
  </si>
  <si>
    <t>Mayank Ali</t>
  </si>
  <si>
    <t>I-1036</t>
  </si>
  <si>
    <t>11/23/2018</t>
  </si>
  <si>
    <t>Glen Campbell</t>
  </si>
  <si>
    <t>I-1037</t>
  </si>
  <si>
    <t>7/31/2016</t>
  </si>
  <si>
    <t>Stephen Smith</t>
  </si>
  <si>
    <t>I-1038</t>
  </si>
  <si>
    <t>Paris</t>
  </si>
  <si>
    <t>France</t>
  </si>
  <si>
    <t>11/30/2015</t>
  </si>
  <si>
    <t>Caroline Eccles</t>
  </si>
  <si>
    <t>I-1039</t>
  </si>
  <si>
    <t>Rome</t>
  </si>
  <si>
    <t>Italy</t>
  </si>
  <si>
    <t>8/15/2018</t>
  </si>
  <si>
    <t>Steven Bell</t>
  </si>
  <si>
    <t>I-1040</t>
  </si>
  <si>
    <t>Los Angeles</t>
  </si>
  <si>
    <t>9/15/2017</t>
  </si>
  <si>
    <t>Colin Matthews</t>
  </si>
  <si>
    <t>I-1041</t>
  </si>
  <si>
    <t>New York</t>
  </si>
  <si>
    <t>7/20/2017</t>
  </si>
  <si>
    <t>Stephen Cohen</t>
  </si>
  <si>
    <t>I-1042</t>
  </si>
  <si>
    <t>10/30/2016</t>
  </si>
  <si>
    <t>William Martin</t>
  </si>
  <si>
    <t>I-1043</t>
  </si>
  <si>
    <t>3/25/2018</t>
  </si>
  <si>
    <t>Michael Bell</t>
  </si>
  <si>
    <t>I-1044</t>
  </si>
  <si>
    <t>7/27/2017</t>
  </si>
  <si>
    <t>Roger Rust</t>
  </si>
  <si>
    <t>I-1045</t>
  </si>
  <si>
    <t>11/16/2016</t>
  </si>
  <si>
    <t>Richard Perrott</t>
  </si>
  <si>
    <t>I-1046</t>
  </si>
  <si>
    <t>1/20/2018</t>
  </si>
  <si>
    <t>Robert Reed</t>
  </si>
  <si>
    <t>I-1047</t>
  </si>
  <si>
    <t>Warsaw</t>
  </si>
  <si>
    <t>Poland</t>
  </si>
  <si>
    <t>Hin Bragg</t>
  </si>
  <si>
    <t>I-1048</t>
  </si>
  <si>
    <t>Amsterdam</t>
  </si>
  <si>
    <t>Netherlands</t>
  </si>
  <si>
    <t>Allyson Rush</t>
  </si>
  <si>
    <t>I-1049</t>
  </si>
  <si>
    <t>Stephen James</t>
  </si>
  <si>
    <t>I-1050</t>
  </si>
  <si>
    <t>10/24/2017</t>
  </si>
  <si>
    <t>Christopher Martin</t>
  </si>
  <si>
    <t>I-1051</t>
  </si>
  <si>
    <t>San Fransisco</t>
  </si>
  <si>
    <t>11/21/2015</t>
  </si>
  <si>
    <t>James Scott</t>
  </si>
  <si>
    <t>I-1052</t>
  </si>
  <si>
    <t>Elaine Whitfield</t>
  </si>
  <si>
    <t>I-1053</t>
  </si>
  <si>
    <t>Dublin</t>
  </si>
  <si>
    <t>Ireland</t>
  </si>
  <si>
    <t>10/23/2017</t>
  </si>
  <si>
    <t>James Carley</t>
  </si>
  <si>
    <t>I-1054</t>
  </si>
  <si>
    <t>7/15/2014</t>
  </si>
  <si>
    <t>Francis Walsh</t>
  </si>
  <si>
    <t>I-1055</t>
  </si>
  <si>
    <t>9/16/2014</t>
  </si>
  <si>
    <t>Rita Hill</t>
  </si>
  <si>
    <t>I-1056</t>
  </si>
  <si>
    <t>Deanna Wang</t>
  </si>
  <si>
    <t>I-1057</t>
  </si>
  <si>
    <t>7/20/2016</t>
  </si>
  <si>
    <t>James White</t>
  </si>
  <si>
    <t>I-1058</t>
  </si>
  <si>
    <t>3/26/2018</t>
  </si>
  <si>
    <t>Jill Thompson</t>
  </si>
  <si>
    <t>I-1059</t>
  </si>
  <si>
    <t>6/23/2014</t>
  </si>
  <si>
    <t>Cheryl Glover</t>
  </si>
  <si>
    <t>I-1060</t>
  </si>
  <si>
    <t>8/30/2018</t>
  </si>
  <si>
    <t>Gillan Clark</t>
  </si>
  <si>
    <t>I-1061</t>
  </si>
  <si>
    <t>Bogota</t>
  </si>
  <si>
    <t>Colombia</t>
  </si>
  <si>
    <t>Antony Westlake</t>
  </si>
  <si>
    <t>I-1062</t>
  </si>
  <si>
    <t>5/24/2014</t>
  </si>
  <si>
    <t>I-1063</t>
  </si>
  <si>
    <t>James Whitehead</t>
  </si>
  <si>
    <t>I-1064</t>
  </si>
  <si>
    <t>2/17/2017</t>
  </si>
  <si>
    <t>Christina Pedley</t>
  </si>
  <si>
    <t>I-1065</t>
  </si>
  <si>
    <t>3/16/2014</t>
  </si>
  <si>
    <t>Ronald Butler</t>
  </si>
  <si>
    <t>I-1066</t>
  </si>
  <si>
    <t>4/23/2017</t>
  </si>
  <si>
    <t>David Stewart</t>
  </si>
  <si>
    <t>I-1067</t>
  </si>
  <si>
    <t>I-1068</t>
  </si>
  <si>
    <t>Donald Barratt</t>
  </si>
  <si>
    <t>I-1069</t>
  </si>
  <si>
    <t>Shanghai</t>
  </si>
  <si>
    <t>9/15/2016</t>
  </si>
  <si>
    <t>Wolf Christian</t>
  </si>
  <si>
    <t>I-1070</t>
  </si>
  <si>
    <t>Mexico City</t>
  </si>
  <si>
    <t>7/26/2018</t>
  </si>
  <si>
    <t>Brendon Dyer</t>
  </si>
  <si>
    <t>I-1071</t>
  </si>
  <si>
    <t>Buenos Aires</t>
  </si>
  <si>
    <t>Argentina</t>
  </si>
  <si>
    <t>Stuart Brown</t>
  </si>
  <si>
    <t>I-1072</t>
  </si>
  <si>
    <t>2/19/2014</t>
  </si>
  <si>
    <t>Alen Dinan</t>
  </si>
  <si>
    <t>I-1073</t>
  </si>
  <si>
    <t>11/17/2017</t>
  </si>
  <si>
    <t>Jacqueline Clamp</t>
  </si>
  <si>
    <t>I-1074</t>
  </si>
  <si>
    <t>7/17/2016</t>
  </si>
  <si>
    <t>Susan Reay</t>
  </si>
  <si>
    <t>I-1075</t>
  </si>
  <si>
    <t>4/29/2017</t>
  </si>
  <si>
    <t>Andrew Phillips</t>
  </si>
  <si>
    <t>I-1076</t>
  </si>
  <si>
    <t>8/15/2014</t>
  </si>
  <si>
    <t>Alan Davie</t>
  </si>
  <si>
    <t>I-1077</t>
  </si>
  <si>
    <t>Madria</t>
  </si>
  <si>
    <t>Spain</t>
  </si>
  <si>
    <t>3/14/2018</t>
  </si>
  <si>
    <t>Penelope Freeland</t>
  </si>
  <si>
    <t>I-1078</t>
  </si>
  <si>
    <t>Michelle Murray</t>
  </si>
  <si>
    <t>I-1079</t>
  </si>
  <si>
    <t>8/31/2016</t>
  </si>
  <si>
    <t>Paul Rule</t>
  </si>
  <si>
    <t>I-1080</t>
  </si>
  <si>
    <t>8/23/2015</t>
  </si>
  <si>
    <t>Ian McCartan</t>
  </si>
  <si>
    <t>I-1081</t>
  </si>
  <si>
    <t>8/24/2015</t>
  </si>
  <si>
    <t>Shelley Mannix</t>
  </si>
  <si>
    <t>I-1082</t>
  </si>
  <si>
    <t>Janet Ford</t>
  </si>
  <si>
    <t>I-1083</t>
  </si>
  <si>
    <t>Vienna</t>
  </si>
  <si>
    <t>Austria</t>
  </si>
  <si>
    <t>12/16/2017</t>
  </si>
  <si>
    <t>Janet Ward</t>
  </si>
  <si>
    <t>I-1084</t>
  </si>
  <si>
    <t>11/25/2014</t>
  </si>
  <si>
    <t>I-1085</t>
  </si>
  <si>
    <t>Craig Johnson</t>
  </si>
  <si>
    <t>I-1086</t>
  </si>
  <si>
    <t>3/16/2018</t>
  </si>
  <si>
    <t>Christopher Snape</t>
  </si>
  <si>
    <t>I-1087</t>
  </si>
  <si>
    <t>Cairo</t>
  </si>
  <si>
    <t>Egypt</t>
  </si>
  <si>
    <t>6/14/2015</t>
  </si>
  <si>
    <t>John Barnett</t>
  </si>
  <si>
    <t>I-1088</t>
  </si>
  <si>
    <t>Robert Jenkins</t>
  </si>
  <si>
    <t>I-1089</t>
  </si>
  <si>
    <t>Kuala Lumpur</t>
  </si>
  <si>
    <t>Malaysia</t>
  </si>
  <si>
    <t>4/22/2016</t>
  </si>
  <si>
    <t>Trudi Griffin</t>
  </si>
  <si>
    <t>I-1090</t>
  </si>
  <si>
    <t>Valerie Brown</t>
  </si>
  <si>
    <t>I-1091</t>
  </si>
  <si>
    <t>11/20/2014</t>
  </si>
  <si>
    <t>Dermot Bailey</t>
  </si>
  <si>
    <t>I-1092</t>
  </si>
  <si>
    <t>Abdul Heywood</t>
  </si>
  <si>
    <t>I-1093</t>
  </si>
  <si>
    <t>7/15/2017</t>
  </si>
  <si>
    <t>Mary Mitchell</t>
  </si>
  <si>
    <t>I-1094</t>
  </si>
  <si>
    <t>2/15/2015</t>
  </si>
  <si>
    <t>Richard McGrath</t>
  </si>
  <si>
    <t>I-1095</t>
  </si>
  <si>
    <t>11/27/2017</t>
  </si>
  <si>
    <t>I-1096</t>
  </si>
  <si>
    <t>Neil McAvoy</t>
  </si>
  <si>
    <t>I-1097</t>
  </si>
  <si>
    <t>6/30/2017</t>
  </si>
  <si>
    <t>Howard Jones</t>
  </si>
  <si>
    <t>I-1098</t>
  </si>
  <si>
    <t>Chicago</t>
  </si>
  <si>
    <t>10/29/2014</t>
  </si>
  <si>
    <t>Heather McGill</t>
  </si>
  <si>
    <t>I-1099</t>
  </si>
  <si>
    <t>I-1100</t>
  </si>
  <si>
    <t>4/27/2018</t>
  </si>
  <si>
    <t>Alexander Hillier</t>
  </si>
  <si>
    <t>I-1101</t>
  </si>
  <si>
    <t>Fiona Johnson</t>
  </si>
  <si>
    <t>I-1102</t>
  </si>
  <si>
    <t>4/17/2018</t>
  </si>
  <si>
    <t>I-1103</t>
  </si>
  <si>
    <t>7/13/2014</t>
  </si>
  <si>
    <t>I-1104</t>
  </si>
  <si>
    <t>3/17/2016</t>
  </si>
  <si>
    <t>Stephen Burch</t>
  </si>
  <si>
    <t>I-1105</t>
  </si>
  <si>
    <t>7/24/2018</t>
  </si>
  <si>
    <t>Claire Storey</t>
  </si>
  <si>
    <t>I-1106</t>
  </si>
  <si>
    <t>11/18/2015</t>
  </si>
  <si>
    <t>I-1107</t>
  </si>
  <si>
    <t>9/22/2014</t>
  </si>
  <si>
    <t>Barbara Turner</t>
  </si>
  <si>
    <t>I-1108</t>
  </si>
  <si>
    <t>1/30/2017</t>
  </si>
  <si>
    <t>Audrey Kane</t>
  </si>
  <si>
    <t>I-1109</t>
  </si>
  <si>
    <t>Robert Payne</t>
  </si>
  <si>
    <t>I-1110</t>
  </si>
  <si>
    <t>10/17/2015</t>
  </si>
  <si>
    <t>Cheryl Tubbs</t>
  </si>
  <si>
    <t>I-1111</t>
  </si>
  <si>
    <t>Victoria Sherwin</t>
  </si>
  <si>
    <t>I-1112</t>
  </si>
  <si>
    <t>10/16/2017</t>
  </si>
  <si>
    <t>Marek Kwiatkowski</t>
  </si>
  <si>
    <t>I-1113</t>
  </si>
  <si>
    <t>7/21/2014</t>
  </si>
  <si>
    <t>I-1114</t>
  </si>
  <si>
    <t>Ken Rogerson</t>
  </si>
  <si>
    <t>I-1115</t>
  </si>
  <si>
    <t>Danny Grant</t>
  </si>
  <si>
    <t>I-1116</t>
  </si>
  <si>
    <t>Jacqueline Swaine</t>
  </si>
  <si>
    <t>I-1117</t>
  </si>
  <si>
    <t>I-1118</t>
  </si>
  <si>
    <t>Bucharest</t>
  </si>
  <si>
    <t>Romania</t>
  </si>
  <si>
    <t>Constance Tidey</t>
  </si>
  <si>
    <t>I-1119</t>
  </si>
  <si>
    <t>11/16/2015</t>
  </si>
  <si>
    <t>Roy Johnson</t>
  </si>
  <si>
    <t>I-1120</t>
  </si>
  <si>
    <t>9/19/2015</t>
  </si>
  <si>
    <t>I-1121</t>
  </si>
  <si>
    <t>4/17/2014</t>
  </si>
  <si>
    <t>Barrie Murray</t>
  </si>
  <si>
    <t>I-1122</t>
  </si>
  <si>
    <t>Andrew Waddell</t>
  </si>
  <si>
    <t>I-1123</t>
  </si>
  <si>
    <t>Richard Barr</t>
  </si>
  <si>
    <t>I-1124</t>
  </si>
  <si>
    <t>3/15/2016</t>
  </si>
  <si>
    <t>Ian Baker</t>
  </si>
  <si>
    <t>I-1125</t>
  </si>
  <si>
    <t>1/19/2018</t>
  </si>
  <si>
    <t>I-1126</t>
  </si>
  <si>
    <t>4/28/2018</t>
  </si>
  <si>
    <t>Sarah Chadwick</t>
  </si>
  <si>
    <t>I-1127</t>
  </si>
  <si>
    <t>3/13/2014</t>
  </si>
  <si>
    <t>I-1128</t>
  </si>
  <si>
    <t>8/28/2015</t>
  </si>
  <si>
    <t>I-1129</t>
  </si>
  <si>
    <t>Denise Clark</t>
  </si>
  <si>
    <t>I-1130</t>
  </si>
  <si>
    <t>2/22/2016</t>
  </si>
  <si>
    <t>Paul Collier</t>
  </si>
  <si>
    <t>I-1131</t>
  </si>
  <si>
    <t>Zulfiqar Mirza</t>
  </si>
  <si>
    <t>I-1132</t>
  </si>
  <si>
    <t>Philip Sutherland</t>
  </si>
  <si>
    <t>I-1133</t>
  </si>
  <si>
    <t>Chandrakant Atkins</t>
  </si>
  <si>
    <t>I-1134</t>
  </si>
  <si>
    <t>Derek Harris</t>
  </si>
  <si>
    <t>I-1135</t>
  </si>
  <si>
    <t>4/19/2016</t>
  </si>
  <si>
    <t>I-1136</t>
  </si>
  <si>
    <t>5/25/2015</t>
  </si>
  <si>
    <t>I-1137</t>
  </si>
  <si>
    <t>Joanne Sayer</t>
  </si>
  <si>
    <t>I-1138</t>
  </si>
  <si>
    <t>I-1139</t>
  </si>
  <si>
    <t>12/25/2017</t>
  </si>
  <si>
    <t>Lisa Manning</t>
  </si>
  <si>
    <t>I-1140</t>
  </si>
  <si>
    <t>Mark Lawton</t>
  </si>
  <si>
    <t>I-1141</t>
  </si>
  <si>
    <t>Jacqueline Todd</t>
  </si>
  <si>
    <t>I-1142</t>
  </si>
  <si>
    <t>Philip Collins</t>
  </si>
  <si>
    <t>I-1143</t>
  </si>
  <si>
    <t>Basil Bain</t>
  </si>
  <si>
    <t>I-1144</t>
  </si>
  <si>
    <t>1/28/2016</t>
  </si>
  <si>
    <t>I-1145</t>
  </si>
  <si>
    <t>John Bond</t>
  </si>
  <si>
    <t>I-1146</t>
  </si>
  <si>
    <t>Tony Milner</t>
  </si>
  <si>
    <t>I-1147</t>
  </si>
  <si>
    <t>4/30/2017</t>
  </si>
  <si>
    <t>Peter Thompson</t>
  </si>
  <si>
    <t>I-1148</t>
  </si>
  <si>
    <t>Stephen Carlin</t>
  </si>
  <si>
    <t>I-1149</t>
  </si>
  <si>
    <t>1/20/2017</t>
  </si>
  <si>
    <t>Roy Lloyd</t>
  </si>
  <si>
    <t>I-1150</t>
  </si>
  <si>
    <t>Nick Gee</t>
  </si>
  <si>
    <t>I-1151</t>
  </si>
  <si>
    <t>10/15/2018</t>
  </si>
  <si>
    <t>I-1152</t>
  </si>
  <si>
    <t>Paul Mannion</t>
  </si>
  <si>
    <t>I-1153</t>
  </si>
  <si>
    <t>8/31/2018</t>
  </si>
  <si>
    <t>Jacob Percival</t>
  </si>
  <si>
    <t>I-1154</t>
  </si>
  <si>
    <t>8/18/2018</t>
  </si>
  <si>
    <t>I-1155</t>
  </si>
  <si>
    <t>6/15/2016</t>
  </si>
  <si>
    <t>I-1156</t>
  </si>
  <si>
    <t>Geoffrey Patel</t>
  </si>
  <si>
    <t>I-1157</t>
  </si>
  <si>
    <t>6/16/2015</t>
  </si>
  <si>
    <t>I-1158</t>
  </si>
  <si>
    <t>4/15/2017</t>
  </si>
  <si>
    <t>Rosemary Aziz</t>
  </si>
  <si>
    <t>I-1159</t>
  </si>
  <si>
    <t>6/25/2015</t>
  </si>
  <si>
    <t>Cordia Alston</t>
  </si>
  <si>
    <t>I-1160</t>
  </si>
  <si>
    <t>Kevin McLauchlin</t>
  </si>
  <si>
    <t>I-1161</t>
  </si>
  <si>
    <t>Dubai</t>
  </si>
  <si>
    <t>UAE</t>
  </si>
  <si>
    <t>5/19/2016</t>
  </si>
  <si>
    <t>Marie Whitfield</t>
  </si>
  <si>
    <t>I-1162</t>
  </si>
  <si>
    <t>2/26/2014</t>
  </si>
  <si>
    <t>Philip Dewar</t>
  </si>
  <si>
    <t>I-1163</t>
  </si>
  <si>
    <t>11/26/2014</t>
  </si>
  <si>
    <t>I-1164</t>
  </si>
  <si>
    <t>1/26/2014</t>
  </si>
  <si>
    <t>I-1165</t>
  </si>
  <si>
    <t>4/26/2015</t>
  </si>
  <si>
    <t>I-1166</t>
  </si>
  <si>
    <t>Andrew Hirst</t>
  </si>
  <si>
    <t>I-1167</t>
  </si>
  <si>
    <t>Robert Brook</t>
  </si>
  <si>
    <t>I-1168</t>
  </si>
  <si>
    <t>3/25/2017</t>
  </si>
  <si>
    <t>Malcolm Griffith</t>
  </si>
  <si>
    <t>I-1169</t>
  </si>
  <si>
    <t>1/16/2018</t>
  </si>
  <si>
    <t>Alison Younger</t>
  </si>
  <si>
    <t>I-1170</t>
  </si>
  <si>
    <t>Steven Batty</t>
  </si>
  <si>
    <t>I-1171</t>
  </si>
  <si>
    <t>I-1172</t>
  </si>
  <si>
    <t>I-1173</t>
  </si>
  <si>
    <t>6/20/2015</t>
  </si>
  <si>
    <t>Nicholas Knight</t>
  </si>
  <si>
    <t>I-1174</t>
  </si>
  <si>
    <t>I-1175</t>
  </si>
  <si>
    <t>David Philp</t>
  </si>
  <si>
    <t>I-1176</t>
  </si>
  <si>
    <t>5/20/2018</t>
  </si>
  <si>
    <t>Roy Nunes</t>
  </si>
  <si>
    <t>I-1177</t>
  </si>
  <si>
    <t>1/21/2018</t>
  </si>
  <si>
    <t>I-1178</t>
  </si>
  <si>
    <t>7/15/2015</t>
  </si>
  <si>
    <t>I-1179</t>
  </si>
  <si>
    <t>I-1180</t>
  </si>
  <si>
    <t>William Lant</t>
  </si>
  <si>
    <t>I-1181</t>
  </si>
  <si>
    <t>6/16/2014</t>
  </si>
  <si>
    <t>I-1182</t>
  </si>
  <si>
    <t>Santiago</t>
  </si>
  <si>
    <t>Chile</t>
  </si>
  <si>
    <t>Ram Mathews</t>
  </si>
  <si>
    <t>I-1183</t>
  </si>
  <si>
    <t>8/19/2016</t>
  </si>
  <si>
    <t>Naeem Perry</t>
  </si>
  <si>
    <t>I-1184</t>
  </si>
  <si>
    <t>Anthony Connolly</t>
  </si>
  <si>
    <t>I-1185</t>
  </si>
  <si>
    <t>5/25/2016</t>
  </si>
  <si>
    <t>I-1186</t>
  </si>
  <si>
    <t>6/22/2015</t>
  </si>
  <si>
    <t>Brenda Lightfoot</t>
  </si>
  <si>
    <t>I-1187</t>
  </si>
  <si>
    <t>9/24/2016</t>
  </si>
  <si>
    <t>Chloe Lyons</t>
  </si>
  <si>
    <t>I-1188</t>
  </si>
  <si>
    <t>9/21/2014</t>
  </si>
  <si>
    <t>I-1189</t>
  </si>
  <si>
    <t>4/26/2017</t>
  </si>
  <si>
    <t>I-1190</t>
  </si>
  <si>
    <t>12/27/2017</t>
  </si>
  <si>
    <t>Tony Green</t>
  </si>
  <si>
    <t>I-1191</t>
  </si>
  <si>
    <t>Armand Ahmed</t>
  </si>
  <si>
    <t>I-1192</t>
  </si>
  <si>
    <t>Geoffrey Shiner</t>
  </si>
  <si>
    <t>I-1193</t>
  </si>
  <si>
    <t>3/26/2017</t>
  </si>
  <si>
    <t>I-1194</t>
  </si>
  <si>
    <t>4/13/2016</t>
  </si>
  <si>
    <t>Isla Parsons</t>
  </si>
  <si>
    <t>I-1195</t>
  </si>
  <si>
    <t>I-1196</t>
  </si>
  <si>
    <t>1/27/2015</t>
  </si>
  <si>
    <t>I-1197</t>
  </si>
  <si>
    <t>11/30/2018</t>
  </si>
  <si>
    <t>Stephen Nolan</t>
  </si>
  <si>
    <t>I-1198</t>
  </si>
  <si>
    <t>11/25/2017</t>
  </si>
  <si>
    <t>Julia Hurren</t>
  </si>
  <si>
    <t>I-1199</t>
  </si>
  <si>
    <t>Simon Hirst</t>
  </si>
  <si>
    <t>I-1200</t>
  </si>
  <si>
    <t>2/16/2017</t>
  </si>
  <si>
    <t>I-1201</t>
  </si>
  <si>
    <t>10/23/2015</t>
  </si>
  <si>
    <t>I-1202</t>
  </si>
  <si>
    <t>12/26/2015</t>
  </si>
  <si>
    <t>I-1203</t>
  </si>
  <si>
    <t>Francis Hall</t>
  </si>
  <si>
    <t>I-1204</t>
  </si>
  <si>
    <t>I-1205</t>
  </si>
  <si>
    <t>Alan Evora</t>
  </si>
  <si>
    <t>I-1206</t>
  </si>
  <si>
    <t>1/25/2016</t>
  </si>
  <si>
    <t>Xun Simms</t>
  </si>
  <si>
    <t>I-1207</t>
  </si>
  <si>
    <t>1/26/2015</t>
  </si>
  <si>
    <t>Gustavo Taiwo</t>
  </si>
  <si>
    <t>I-1208</t>
  </si>
  <si>
    <t>James Hammond</t>
  </si>
  <si>
    <t>I-1209</t>
  </si>
  <si>
    <t>I-1210</t>
  </si>
  <si>
    <t>8/26/2018</t>
  </si>
  <si>
    <t>Barry Baldwin</t>
  </si>
  <si>
    <t>I-1211</t>
  </si>
  <si>
    <t>Elizabeth Holloway</t>
  </si>
  <si>
    <t>I-1212</t>
  </si>
  <si>
    <t>7/15/2016</t>
  </si>
  <si>
    <t>I-1213</t>
  </si>
  <si>
    <t>11/29/2014</t>
  </si>
  <si>
    <t>Peter Kelly</t>
  </si>
  <si>
    <t>I-1214</t>
  </si>
  <si>
    <t>I-1215</t>
  </si>
  <si>
    <t>12/20/2017</t>
  </si>
  <si>
    <t>I-1216</t>
  </si>
  <si>
    <t>2/19/2017</t>
  </si>
  <si>
    <t>Christopher Kitching</t>
  </si>
  <si>
    <t>I-1217</t>
  </si>
  <si>
    <t>2/16/2018</t>
  </si>
  <si>
    <t>I-1218</t>
  </si>
  <si>
    <t>Michael Patel</t>
  </si>
  <si>
    <t>I-1219</t>
  </si>
  <si>
    <t>Tracy Stanley</t>
  </si>
  <si>
    <t>I-1220</t>
  </si>
  <si>
    <t>Stuart Sykes</t>
  </si>
  <si>
    <t>I-1221</t>
  </si>
  <si>
    <t>8/13/2018</t>
  </si>
  <si>
    <t>I-1222</t>
  </si>
  <si>
    <t>Marie Foster</t>
  </si>
  <si>
    <t>I-1223</t>
  </si>
  <si>
    <t>Gary Acheampong</t>
  </si>
  <si>
    <t>I-1224</t>
  </si>
  <si>
    <t>I-1225</t>
  </si>
  <si>
    <t>4/16/2016</t>
  </si>
  <si>
    <t>John Osborne</t>
  </si>
  <si>
    <t>I-1226</t>
  </si>
  <si>
    <t>10/23/2016</t>
  </si>
  <si>
    <t>Paul Atkins</t>
  </si>
  <si>
    <t>I-1227</t>
  </si>
  <si>
    <t>Denise Rodgers</t>
  </si>
  <si>
    <t>I-1228</t>
  </si>
  <si>
    <t>7/31/2015</t>
  </si>
  <si>
    <t>I-1229</t>
  </si>
  <si>
    <t>Arthur Moncrieff</t>
  </si>
  <si>
    <t>I-1230</t>
  </si>
  <si>
    <t>7/22/2018</t>
  </si>
  <si>
    <t>I-1231</t>
  </si>
  <si>
    <t>I-1232</t>
  </si>
  <si>
    <t>7/14/2015</t>
  </si>
  <si>
    <t>Aidan Perrott</t>
  </si>
  <si>
    <t>I-1233</t>
  </si>
  <si>
    <t>4/21/2014</t>
  </si>
  <si>
    <t>Alexandra Wright</t>
  </si>
  <si>
    <t>I-1234</t>
  </si>
  <si>
    <t>7/26/2015</t>
  </si>
  <si>
    <t>Zhan Whitfield</t>
  </si>
  <si>
    <t>I-1235</t>
  </si>
  <si>
    <t>Daniel Henderson</t>
  </si>
  <si>
    <t>I-1236</t>
  </si>
  <si>
    <t>Barbara Love</t>
  </si>
  <si>
    <t>I-1237</t>
  </si>
  <si>
    <t>9/23/2017</t>
  </si>
  <si>
    <t>Paul Sherwin</t>
  </si>
  <si>
    <t>I-1238</t>
  </si>
  <si>
    <t>I-1239</t>
  </si>
  <si>
    <t>Nicole Marshall</t>
  </si>
  <si>
    <t>I-1240</t>
  </si>
  <si>
    <t>8/17/2014</t>
  </si>
  <si>
    <t>Susan Toye</t>
  </si>
  <si>
    <t>I-1241</t>
  </si>
  <si>
    <t>10/21/2016</t>
  </si>
  <si>
    <t>I-1242</t>
  </si>
  <si>
    <t>Natasha Carvalho</t>
  </si>
  <si>
    <t>I-1243</t>
  </si>
  <si>
    <t>Ronnette Stocks</t>
  </si>
  <si>
    <t>I-1244</t>
  </si>
  <si>
    <t>1/27/2016</t>
  </si>
  <si>
    <t>Pauline Pope</t>
  </si>
  <si>
    <t>I-1245</t>
  </si>
  <si>
    <t>9/26/2018</t>
  </si>
  <si>
    <t>Roger Scott</t>
  </si>
  <si>
    <t>I-1246</t>
  </si>
  <si>
    <t>I-1247</t>
  </si>
  <si>
    <t>9/16/2018</t>
  </si>
  <si>
    <t>Alison Storey</t>
  </si>
  <si>
    <t>I-1248</t>
  </si>
  <si>
    <t>4/14/2016</t>
  </si>
  <si>
    <t>I-1249</t>
  </si>
  <si>
    <t>Douglas Davies</t>
  </si>
  <si>
    <t>I-1250</t>
  </si>
  <si>
    <t>Susan Passey</t>
  </si>
  <si>
    <t>I-1251</t>
  </si>
  <si>
    <t>11/22/2017</t>
  </si>
  <si>
    <t>Bruce McPhee</t>
  </si>
  <si>
    <t>I-1252</t>
  </si>
  <si>
    <t>7/19/2014</t>
  </si>
  <si>
    <t>I-1253</t>
  </si>
  <si>
    <t>9/21/2018</t>
  </si>
  <si>
    <t>I-1254</t>
  </si>
  <si>
    <t>9/30/2015</t>
  </si>
  <si>
    <t>Bryan Mason</t>
  </si>
  <si>
    <t>I-1255</t>
  </si>
  <si>
    <t>Rebecca Delo</t>
  </si>
  <si>
    <t>I-1256</t>
  </si>
  <si>
    <t>I-1257</t>
  </si>
  <si>
    <t>12/30/2017</t>
  </si>
  <si>
    <t>I-1258</t>
  </si>
  <si>
    <t>5/20/2017</t>
  </si>
  <si>
    <t>Abu Moore</t>
  </si>
  <si>
    <t>I-1259</t>
  </si>
  <si>
    <t>1/23/2014</t>
  </si>
  <si>
    <t>I-1260</t>
  </si>
  <si>
    <t>3/18/2016</t>
  </si>
  <si>
    <t>I-1261</t>
  </si>
  <si>
    <t>7/20/2014</t>
  </si>
  <si>
    <t>Carole Owen</t>
  </si>
  <si>
    <t>I-1262</t>
  </si>
  <si>
    <t>6/17/2018</t>
  </si>
  <si>
    <t>Rachel Oliver</t>
  </si>
  <si>
    <t>I-1263</t>
  </si>
  <si>
    <t>9/23/2016</t>
  </si>
  <si>
    <t>I-1264</t>
  </si>
  <si>
    <t>Carl Snape</t>
  </si>
  <si>
    <t>I-1265</t>
  </si>
  <si>
    <t>John Bull</t>
  </si>
  <si>
    <t>I-1266</t>
  </si>
  <si>
    <t>Charles Ali</t>
  </si>
  <si>
    <t>I-1267</t>
  </si>
  <si>
    <t>5/28/2015</t>
  </si>
  <si>
    <t>Wolfgang Carvalho</t>
  </si>
  <si>
    <t>I-1268</t>
  </si>
  <si>
    <t>6/19/2015</t>
  </si>
  <si>
    <t>I-1269</t>
  </si>
  <si>
    <t>I-1270</t>
  </si>
  <si>
    <t>3/27/2016</t>
  </si>
  <si>
    <t>Gary Percival</t>
  </si>
  <si>
    <t>I-1271</t>
  </si>
  <si>
    <t>2/28/2014</t>
  </si>
  <si>
    <t>Gary Roberts</t>
  </si>
  <si>
    <t>I-1272</t>
  </si>
  <si>
    <t>Leonard Green</t>
  </si>
  <si>
    <t>I-1273</t>
  </si>
  <si>
    <t>6/26/2015</t>
  </si>
  <si>
    <t>Richard James</t>
  </si>
  <si>
    <t>I-1274</t>
  </si>
  <si>
    <t>9/19/2014</t>
  </si>
  <si>
    <t>I-1275</t>
  </si>
  <si>
    <t>Richard Rowe</t>
  </si>
  <si>
    <t>I-1276</t>
  </si>
  <si>
    <t>1/17/2018</t>
  </si>
  <si>
    <t>Bryan Clement</t>
  </si>
  <si>
    <t>I-1277</t>
  </si>
  <si>
    <t>10/23/2018</t>
  </si>
  <si>
    <t>Paresh Mathews</t>
  </si>
  <si>
    <t>I-1278</t>
  </si>
  <si>
    <t>8/27/2014</t>
  </si>
  <si>
    <t>Thomas Davies</t>
  </si>
  <si>
    <t>I-1279</t>
  </si>
  <si>
    <t>10/14/2017</t>
  </si>
  <si>
    <t>Ronald Curtis</t>
  </si>
  <si>
    <t>I-1280</t>
  </si>
  <si>
    <t>I-1281</t>
  </si>
  <si>
    <t>David Amos</t>
  </si>
  <si>
    <t>I-1282</t>
  </si>
  <si>
    <t>9/22/2016</t>
  </si>
  <si>
    <t>I-1283</t>
  </si>
  <si>
    <t>I-1284</t>
  </si>
  <si>
    <t>Colin Lima</t>
  </si>
  <si>
    <t>I-1285</t>
  </si>
  <si>
    <t>I-1286</t>
  </si>
  <si>
    <t>I-1287</t>
  </si>
  <si>
    <t>12/27/2015</t>
  </si>
  <si>
    <t>Christopher Hurren</t>
  </si>
  <si>
    <t>I-1288</t>
  </si>
  <si>
    <t>I-1289</t>
  </si>
  <si>
    <t>Neil Tubbs</t>
  </si>
  <si>
    <t>I-1290</t>
  </si>
  <si>
    <t>I-1291</t>
  </si>
  <si>
    <t>9/20/2014</t>
  </si>
  <si>
    <t>I-1292</t>
  </si>
  <si>
    <t>6/28/2018</t>
  </si>
  <si>
    <t>John Craig</t>
  </si>
  <si>
    <t>I-1293</t>
  </si>
  <si>
    <t>11/27/2014</t>
  </si>
  <si>
    <t>Richard Oliver</t>
  </si>
  <si>
    <t>I-1294</t>
  </si>
  <si>
    <t>Nicholas Timbrell</t>
  </si>
  <si>
    <t>I-1295</t>
  </si>
  <si>
    <t>I-1296</t>
  </si>
  <si>
    <t>Nicola Nathan</t>
  </si>
  <si>
    <t>I-1297</t>
  </si>
  <si>
    <t>9/16/2017</t>
  </si>
  <si>
    <t>I-1298</t>
  </si>
  <si>
    <t>Zoe Munday</t>
  </si>
  <si>
    <t>I-1299</t>
  </si>
  <si>
    <t>Paul Long</t>
  </si>
  <si>
    <t>I-1300</t>
  </si>
  <si>
    <t>Olivia Reynolds</t>
  </si>
  <si>
    <t>I-1301</t>
  </si>
  <si>
    <t>6/24/2018</t>
  </si>
  <si>
    <t>I-1302</t>
  </si>
  <si>
    <t>5/20/2015</t>
  </si>
  <si>
    <t>Eric Walker</t>
  </si>
  <si>
    <t>I-1303</t>
  </si>
  <si>
    <t>5/16/2014</t>
  </si>
  <si>
    <t>Andrew Jones</t>
  </si>
  <si>
    <t>I-1304</t>
  </si>
  <si>
    <t>Basil Nolan</t>
  </si>
  <si>
    <t>I-1305</t>
  </si>
  <si>
    <t>4/15/2015</t>
  </si>
  <si>
    <t>I-1306</t>
  </si>
  <si>
    <t>5/28/2017</t>
  </si>
  <si>
    <t>I-1307</t>
  </si>
  <si>
    <t>3/31/2017</t>
  </si>
  <si>
    <t>I-1308</t>
  </si>
  <si>
    <t>I-1309</t>
  </si>
  <si>
    <t>9/17/2018</t>
  </si>
  <si>
    <t>I-1310</t>
  </si>
  <si>
    <t>7/22/2017</t>
  </si>
  <si>
    <t>I-1311</t>
  </si>
  <si>
    <t>Damilola Raymond</t>
  </si>
  <si>
    <t>I-1312</t>
  </si>
  <si>
    <t>6/24/2015</t>
  </si>
  <si>
    <t>Christopher Lloyd</t>
  </si>
  <si>
    <t>I-1313</t>
  </si>
  <si>
    <t>James Neville</t>
  </si>
  <si>
    <t>I-1314</t>
  </si>
  <si>
    <t>I-1315</t>
  </si>
  <si>
    <t>I-1316</t>
  </si>
  <si>
    <t>11/25/2016</t>
  </si>
  <si>
    <t>I-1317</t>
  </si>
  <si>
    <t>2/20/2014</t>
  </si>
  <si>
    <t>I-1318</t>
  </si>
  <si>
    <t>I-1319</t>
  </si>
  <si>
    <t>I-1320</t>
  </si>
  <si>
    <t>I-1321</t>
  </si>
  <si>
    <t>2/27/2017</t>
  </si>
  <si>
    <t>I-1322</t>
  </si>
  <si>
    <t>5/22/2017</t>
  </si>
  <si>
    <t>I-1323</t>
  </si>
  <si>
    <t>9/14/2014</t>
  </si>
  <si>
    <t>Timothy Younger</t>
  </si>
  <si>
    <t>I-1324</t>
  </si>
  <si>
    <t>6/13/2018</t>
  </si>
  <si>
    <t>Philip Mishra</t>
  </si>
  <si>
    <t>I-1325</t>
  </si>
  <si>
    <t>I-1326</t>
  </si>
  <si>
    <t>9/15/2014</t>
  </si>
  <si>
    <t>I-1327</t>
  </si>
  <si>
    <t>I-1328</t>
  </si>
  <si>
    <t>11/26/2017</t>
  </si>
  <si>
    <t>I-1329</t>
  </si>
  <si>
    <t>I-1330</t>
  </si>
  <si>
    <t>7/16/2016</t>
  </si>
  <si>
    <t>I-1331</t>
  </si>
  <si>
    <t>1/27/2014</t>
  </si>
  <si>
    <t>Irene Skiba</t>
  </si>
  <si>
    <t>I-1332</t>
  </si>
  <si>
    <t>Francis Hughes</t>
  </si>
  <si>
    <t>I-1333</t>
  </si>
  <si>
    <t>I-1334</t>
  </si>
  <si>
    <t>Patricia Sewell</t>
  </si>
  <si>
    <t>I-1335</t>
  </si>
  <si>
    <t>I-1336</t>
  </si>
  <si>
    <t>8/29/2015</t>
  </si>
  <si>
    <t>I-1337</t>
  </si>
  <si>
    <t>I-1338</t>
  </si>
  <si>
    <t>Michelle Hunter</t>
  </si>
  <si>
    <t>I-1339</t>
  </si>
  <si>
    <t>3/21/2018</t>
  </si>
  <si>
    <t>I-1340</t>
  </si>
  <si>
    <t>11/21/2014</t>
  </si>
  <si>
    <t>Margaret Buck</t>
  </si>
  <si>
    <t>I-1341</t>
  </si>
  <si>
    <t>Gwyn Taylor</t>
  </si>
  <si>
    <t>I-1342</t>
  </si>
  <si>
    <t>4/27/2016</t>
  </si>
  <si>
    <t>Ronald Rowlands</t>
  </si>
  <si>
    <t>I-1343</t>
  </si>
  <si>
    <t>I-1344</t>
  </si>
  <si>
    <t>Kirsty Amos</t>
  </si>
  <si>
    <t>I-1345</t>
  </si>
  <si>
    <t>1/22/2015</t>
  </si>
  <si>
    <t>I-1346</t>
  </si>
  <si>
    <t>I-1347</t>
  </si>
  <si>
    <t>6/27/2014</t>
  </si>
  <si>
    <t>I-1348</t>
  </si>
  <si>
    <t>Rachel Clayton</t>
  </si>
  <si>
    <t>I-1349</t>
  </si>
  <si>
    <t>4/21/2018</t>
  </si>
  <si>
    <t>Rosalind Chandler</t>
  </si>
  <si>
    <t>I-1350</t>
  </si>
  <si>
    <t>2/22/2014</t>
  </si>
  <si>
    <t>Kelly Owen</t>
  </si>
  <si>
    <t>I-1351</t>
  </si>
  <si>
    <t>5/13/2018</t>
  </si>
  <si>
    <t>Emily Brierley</t>
  </si>
  <si>
    <t>I-1352</t>
  </si>
  <si>
    <t>4/23/2018</t>
  </si>
  <si>
    <t>I-1353</t>
  </si>
  <si>
    <t>10/28/2016</t>
  </si>
  <si>
    <t>Kenneth Bullion</t>
  </si>
  <si>
    <t>I-1354</t>
  </si>
  <si>
    <t>I-1355</t>
  </si>
  <si>
    <t>I-1356</t>
  </si>
  <si>
    <t>I-1357</t>
  </si>
  <si>
    <t>I-1358</t>
  </si>
  <si>
    <t>1/22/2016</t>
  </si>
  <si>
    <t>I-1359</t>
  </si>
  <si>
    <t>Mark Towey</t>
  </si>
  <si>
    <t>I-1360</t>
  </si>
  <si>
    <t>Ernie Dyer</t>
  </si>
  <si>
    <t>I-1361</t>
  </si>
  <si>
    <t>Stephen MacGregor</t>
  </si>
  <si>
    <t>I-1362</t>
  </si>
  <si>
    <t>Harold Lunn</t>
  </si>
  <si>
    <t>I-1363</t>
  </si>
  <si>
    <t>I-1364</t>
  </si>
  <si>
    <t>I-1365</t>
  </si>
  <si>
    <t>2/21/2015</t>
  </si>
  <si>
    <t>I-1366</t>
  </si>
  <si>
    <t>11/14/2014</t>
  </si>
  <si>
    <t>Richard Nash</t>
  </si>
  <si>
    <t>I-1367</t>
  </si>
  <si>
    <t>Paul Puri</t>
  </si>
  <si>
    <t>I-1368</t>
  </si>
  <si>
    <t>1/28/2015</t>
  </si>
  <si>
    <t>I-1369</t>
  </si>
  <si>
    <t>Ryan Goad</t>
  </si>
  <si>
    <t>I-1370</t>
  </si>
  <si>
    <t>Stuart Hunter</t>
  </si>
  <si>
    <t>I-1371</t>
  </si>
  <si>
    <t>2/28/2015</t>
  </si>
  <si>
    <t>Paul Salmon</t>
  </si>
  <si>
    <t>I-1372</t>
  </si>
  <si>
    <t>Terence Mirza</t>
  </si>
  <si>
    <t>I-1373</t>
  </si>
  <si>
    <t>I-1374</t>
  </si>
  <si>
    <t>Catherine Rahman</t>
  </si>
  <si>
    <t>I-1375</t>
  </si>
  <si>
    <t>2/24/2017</t>
  </si>
  <si>
    <t>I-1376</t>
  </si>
  <si>
    <t>2/16/2014</t>
  </si>
  <si>
    <t>Ellen Lillie</t>
  </si>
  <si>
    <t>I-1377</t>
  </si>
  <si>
    <t>6/26/2018</t>
  </si>
  <si>
    <t>I-1378</t>
  </si>
  <si>
    <t>1/17/2014</t>
  </si>
  <si>
    <t>I-1379</t>
  </si>
  <si>
    <t>Emma Gibbons</t>
  </si>
  <si>
    <t>I-1380</t>
  </si>
  <si>
    <t>10/22/2017</t>
  </si>
  <si>
    <t>I-1381</t>
  </si>
  <si>
    <t>4/23/2016</t>
  </si>
  <si>
    <t>I-1382</t>
  </si>
  <si>
    <t>I-1383</t>
  </si>
  <si>
    <t>10/29/2017</t>
  </si>
  <si>
    <t>I-1384</t>
  </si>
  <si>
    <t>2/28/2017</t>
  </si>
  <si>
    <t>Steven Douglas</t>
  </si>
  <si>
    <t>I-1385</t>
  </si>
  <si>
    <t>I-1386</t>
  </si>
  <si>
    <t>7/18/2017</t>
  </si>
  <si>
    <t>I-1387</t>
  </si>
  <si>
    <t>I-1388</t>
  </si>
  <si>
    <t>Marcus Jacob</t>
  </si>
  <si>
    <t>I-1389</t>
  </si>
  <si>
    <t>I-1390</t>
  </si>
  <si>
    <t>I-1391</t>
  </si>
  <si>
    <t>5/25/2014</t>
  </si>
  <si>
    <t>I-1392</t>
  </si>
  <si>
    <t>6/25/2016</t>
  </si>
  <si>
    <t>I-1393</t>
  </si>
  <si>
    <t>I-1394</t>
  </si>
  <si>
    <t>David Finnie</t>
  </si>
  <si>
    <t>I-1395</t>
  </si>
  <si>
    <t>I-1396</t>
  </si>
  <si>
    <t>Michael Rodgers</t>
  </si>
  <si>
    <t>I-1397</t>
  </si>
  <si>
    <t>11/28/2015</t>
  </si>
  <si>
    <t>Karen Hopewell</t>
  </si>
  <si>
    <t>I-1398</t>
  </si>
  <si>
    <t>7/19/2016</t>
  </si>
  <si>
    <t>I-1399</t>
  </si>
  <si>
    <t>I-1400</t>
  </si>
  <si>
    <t>I-1401</t>
  </si>
  <si>
    <t>9/28/2018</t>
  </si>
  <si>
    <t>Rachel Blane</t>
  </si>
  <si>
    <t>I-1402</t>
  </si>
  <si>
    <t>4/20/2017</t>
  </si>
  <si>
    <t>Golam Reid</t>
  </si>
  <si>
    <t>I-1403</t>
  </si>
  <si>
    <t>1/14/2014</t>
  </si>
  <si>
    <t>I-1404</t>
  </si>
  <si>
    <t>James Anthony</t>
  </si>
  <si>
    <t>I-1405</t>
  </si>
  <si>
    <t>12/15/2016</t>
  </si>
  <si>
    <t>Nick Blacklock</t>
  </si>
  <si>
    <t>I-1406</t>
  </si>
  <si>
    <t>I-1407</t>
  </si>
  <si>
    <t>Martin Mishra</t>
  </si>
  <si>
    <t>I-1408</t>
  </si>
  <si>
    <t>3/31/2018</t>
  </si>
  <si>
    <t>Heather Murray</t>
  </si>
  <si>
    <t>I-1409</t>
  </si>
  <si>
    <t>10/24/2018</t>
  </si>
  <si>
    <t>Alan Procter</t>
  </si>
  <si>
    <t>I-1410</t>
  </si>
  <si>
    <t>I-1411</t>
  </si>
  <si>
    <t>I-1412</t>
  </si>
  <si>
    <t>7/28/2017</t>
  </si>
  <si>
    <t>I-1413</t>
  </si>
  <si>
    <t>3/19/2016</t>
  </si>
  <si>
    <t>Julia Ferguson</t>
  </si>
  <si>
    <t>I-1414</t>
  </si>
  <si>
    <t>I-1415</t>
  </si>
  <si>
    <t>4/26/2016</t>
  </si>
  <si>
    <t>Robert Harris</t>
  </si>
  <si>
    <t>I-1416</t>
  </si>
  <si>
    <t>10/25/2018</t>
  </si>
  <si>
    <t>David Rodrigues</t>
  </si>
  <si>
    <t>I-1417</t>
  </si>
  <si>
    <t>Claire Brooks</t>
  </si>
  <si>
    <t>I-1418</t>
  </si>
  <si>
    <t>2/24/2015</t>
  </si>
  <si>
    <t>Penelope Norton</t>
  </si>
  <si>
    <t>I-1419</t>
  </si>
  <si>
    <t>12/25/2014</t>
  </si>
  <si>
    <t>I-1420</t>
  </si>
  <si>
    <t>11/14/2017</t>
  </si>
  <si>
    <t>Raymond Denning</t>
  </si>
  <si>
    <t>I-1421</t>
  </si>
  <si>
    <t>Valerie Pereira</t>
  </si>
  <si>
    <t>I-1422</t>
  </si>
  <si>
    <t>I-1423</t>
  </si>
  <si>
    <t>5/31/2014</t>
  </si>
  <si>
    <t>Paul Drage</t>
  </si>
  <si>
    <t>I-1424</t>
  </si>
  <si>
    <t>9/29/2018</t>
  </si>
  <si>
    <t>Pauline Taylor</t>
  </si>
  <si>
    <t>I-1425</t>
  </si>
  <si>
    <t>12/16/2018</t>
  </si>
  <si>
    <t>Valerie Hook</t>
  </si>
  <si>
    <t>I-1426</t>
  </si>
  <si>
    <t>1/15/2015</t>
  </si>
  <si>
    <t>I-1427</t>
  </si>
  <si>
    <t>I-1428</t>
  </si>
  <si>
    <t>5/21/2014</t>
  </si>
  <si>
    <t>I-1429</t>
  </si>
  <si>
    <t>2/14/2014</t>
  </si>
  <si>
    <t>Ian Borowski</t>
  </si>
  <si>
    <t>I-1430</t>
  </si>
  <si>
    <t>I-1431</t>
  </si>
  <si>
    <t>2/14/2016</t>
  </si>
  <si>
    <t>Harold Green</t>
  </si>
  <si>
    <t>I-1432</t>
  </si>
  <si>
    <t>3/18/2014</t>
  </si>
  <si>
    <t>I-1433</t>
  </si>
  <si>
    <t>David Hubble</t>
  </si>
  <si>
    <t>I-1434</t>
  </si>
  <si>
    <t>3/27/2017</t>
  </si>
  <si>
    <t>William Cruse</t>
  </si>
  <si>
    <t>I-1435</t>
  </si>
  <si>
    <t>Michael Toy</t>
  </si>
  <si>
    <t>I-1436</t>
  </si>
  <si>
    <t>11/23/2016</t>
  </si>
  <si>
    <t>Harold Charters</t>
  </si>
  <si>
    <t>I-1437</t>
  </si>
  <si>
    <t>Jason Edmund</t>
  </si>
  <si>
    <t>I-1438</t>
  </si>
  <si>
    <t>8/24/2017</t>
  </si>
  <si>
    <t>Melanie Fletcher</t>
  </si>
  <si>
    <t>I-1439</t>
  </si>
  <si>
    <t>I-1440</t>
  </si>
  <si>
    <t>I-1441</t>
  </si>
  <si>
    <t>9/22/2018</t>
  </si>
  <si>
    <t>I-1442</t>
  </si>
  <si>
    <t>3/14/2015</t>
  </si>
  <si>
    <t>I-1443</t>
  </si>
  <si>
    <t>12/20/2014</t>
  </si>
  <si>
    <t>Ian Grant</t>
  </si>
  <si>
    <t>I-1444</t>
  </si>
  <si>
    <t>9/30/2018</t>
  </si>
  <si>
    <t>I-1445</t>
  </si>
  <si>
    <t>9/18/2014</t>
  </si>
  <si>
    <t>I-1446</t>
  </si>
  <si>
    <t>I-1447</t>
  </si>
  <si>
    <t>Jodie Fairhurst</t>
  </si>
  <si>
    <t>I-1448</t>
  </si>
  <si>
    <t>10/18/2018</t>
  </si>
  <si>
    <t>I-1449</t>
  </si>
  <si>
    <t>Joanne Ripley</t>
  </si>
  <si>
    <t>I-1450</t>
  </si>
  <si>
    <t>I-1451</t>
  </si>
  <si>
    <t>3/23/2014</t>
  </si>
  <si>
    <t>Martin Birch</t>
  </si>
  <si>
    <t>I-1452</t>
  </si>
  <si>
    <t>Basil Bell</t>
  </si>
  <si>
    <t>I-1453</t>
  </si>
  <si>
    <t>I-1454</t>
  </si>
  <si>
    <t>I-1455</t>
  </si>
  <si>
    <t>Kyle Anderson</t>
  </si>
  <si>
    <t>I-1456</t>
  </si>
  <si>
    <t>I-1457</t>
  </si>
  <si>
    <t>Roy Connelly</t>
  </si>
  <si>
    <t>I-1458</t>
  </si>
  <si>
    <t>Julia Hammond</t>
  </si>
  <si>
    <t>I-1459</t>
  </si>
  <si>
    <t>6/22/2017</t>
  </si>
  <si>
    <t>I-1460</t>
  </si>
  <si>
    <t>7/23/2017</t>
  </si>
  <si>
    <t>Maureen Reynolds</t>
  </si>
  <si>
    <t>I-1461</t>
  </si>
  <si>
    <t>11/24/2015</t>
  </si>
  <si>
    <t>Donald Higgs</t>
  </si>
  <si>
    <t>I-1462</t>
  </si>
  <si>
    <t>I-1463</t>
  </si>
  <si>
    <t>7/30/2017</t>
  </si>
  <si>
    <t>I-1464</t>
  </si>
  <si>
    <t>David Power</t>
  </si>
  <si>
    <t>I-1465</t>
  </si>
  <si>
    <t>9/17/2014</t>
  </si>
  <si>
    <t>I-1466</t>
  </si>
  <si>
    <t>Simon Snape</t>
  </si>
  <si>
    <t>I-1467</t>
  </si>
  <si>
    <t>12/31/2014</t>
  </si>
  <si>
    <t>Martin Gee</t>
  </si>
  <si>
    <t>I-1468</t>
  </si>
  <si>
    <t>7/21/2017</t>
  </si>
  <si>
    <t>I-1469</t>
  </si>
  <si>
    <t>I-1470</t>
  </si>
  <si>
    <t>I-1471</t>
  </si>
  <si>
    <t>9/27/2017</t>
  </si>
  <si>
    <t>Robert Polhill</t>
  </si>
  <si>
    <t>I-1472</t>
  </si>
  <si>
    <t>I-1473</t>
  </si>
  <si>
    <t>I-1474</t>
  </si>
  <si>
    <t>8/19/2018</t>
  </si>
  <si>
    <t>I-1475</t>
  </si>
  <si>
    <t>I-1476</t>
  </si>
  <si>
    <t>Thomas Taylor</t>
  </si>
  <si>
    <t>I-1477</t>
  </si>
  <si>
    <t>4/19/2015</t>
  </si>
  <si>
    <t>Stephen Muhammad</t>
  </si>
  <si>
    <t>I-1478</t>
  </si>
  <si>
    <t>Robert James</t>
  </si>
  <si>
    <t>I-1479</t>
  </si>
  <si>
    <t>9/14/2016</t>
  </si>
  <si>
    <t>I-1480</t>
  </si>
  <si>
    <t>10/28/2014</t>
  </si>
  <si>
    <t>I-1481</t>
  </si>
  <si>
    <t>6/29/2015</t>
  </si>
  <si>
    <t>I-1482</t>
  </si>
  <si>
    <t>3/18/2017</t>
  </si>
  <si>
    <t>I-1483</t>
  </si>
  <si>
    <t>I-1484</t>
  </si>
  <si>
    <t>7/25/2014</t>
  </si>
  <si>
    <t>Richard Anderson</t>
  </si>
  <si>
    <t>I-1485</t>
  </si>
  <si>
    <t>James Gahagan</t>
  </si>
  <si>
    <t>I-1486</t>
  </si>
  <si>
    <t>I-1487</t>
  </si>
  <si>
    <t>I-1488</t>
  </si>
  <si>
    <t>Alice Canning</t>
  </si>
  <si>
    <t>I-1489</t>
  </si>
  <si>
    <t>12/24/2016</t>
  </si>
  <si>
    <t>I-1490</t>
  </si>
  <si>
    <t>Ronald Bettley</t>
  </si>
  <si>
    <t>I-1491</t>
  </si>
  <si>
    <t>I-1492</t>
  </si>
  <si>
    <t>5/19/2014</t>
  </si>
  <si>
    <t>Jeremy Morrow</t>
  </si>
  <si>
    <t>I-1493</t>
  </si>
  <si>
    <t>I-1494</t>
  </si>
  <si>
    <t>Mark Brook</t>
  </si>
  <si>
    <t>I-1495</t>
  </si>
  <si>
    <t>Stuart Anderson</t>
  </si>
  <si>
    <t>I-1496</t>
  </si>
  <si>
    <t>Jordan Andrews</t>
  </si>
  <si>
    <t>I-1497</t>
  </si>
  <si>
    <t>I-1498</t>
  </si>
  <si>
    <t>Helen Watt</t>
  </si>
  <si>
    <t>I-1499</t>
  </si>
  <si>
    <t>Paul Skiba</t>
  </si>
  <si>
    <t>I-1500</t>
  </si>
  <si>
    <t>5/26/2018</t>
  </si>
  <si>
    <t>John Gunter</t>
  </si>
  <si>
    <t>I-1501</t>
  </si>
  <si>
    <t>11/25/2015</t>
  </si>
  <si>
    <t>Kevin Ross</t>
  </si>
  <si>
    <t>I-1502</t>
  </si>
  <si>
    <t>I-1503</t>
  </si>
  <si>
    <t>Ian Coates</t>
  </si>
  <si>
    <t>I-1504</t>
  </si>
  <si>
    <t>7/21/2016</t>
  </si>
  <si>
    <t>I-1505</t>
  </si>
  <si>
    <t>I-1506</t>
  </si>
  <si>
    <t>I-1507</t>
  </si>
  <si>
    <t>I-1508</t>
  </si>
  <si>
    <t>I-1509</t>
  </si>
  <si>
    <t>11/16/2017</t>
  </si>
  <si>
    <t>I-1510</t>
  </si>
  <si>
    <t>1/19/2017</t>
  </si>
  <si>
    <t>I-1511</t>
  </si>
  <si>
    <t>4/29/2016</t>
  </si>
  <si>
    <t>I-1512</t>
  </si>
  <si>
    <t>I-1513</t>
  </si>
  <si>
    <t>7/22/2015</t>
  </si>
  <si>
    <t>I-1514</t>
  </si>
  <si>
    <t>Lisa Wood</t>
  </si>
  <si>
    <t>I-1515</t>
  </si>
  <si>
    <t>Peter Walker</t>
  </si>
  <si>
    <t>I-1516</t>
  </si>
  <si>
    <t>10/16/2014</t>
  </si>
  <si>
    <t>Barbara McDevitt</t>
  </si>
  <si>
    <t>I-1517</t>
  </si>
  <si>
    <t>7/17/2015</t>
  </si>
  <si>
    <t>I-1518</t>
  </si>
  <si>
    <t>I-1519</t>
  </si>
  <si>
    <t>6/19/2017</t>
  </si>
  <si>
    <t>I-1520</t>
  </si>
  <si>
    <t>9/21/2017</t>
  </si>
  <si>
    <t>Kevin Styles</t>
  </si>
  <si>
    <t>I-1521</t>
  </si>
  <si>
    <t>Margaret Philp</t>
  </si>
  <si>
    <t>I-1522</t>
  </si>
  <si>
    <t>1/29/2015</t>
  </si>
  <si>
    <t>I-1523</t>
  </si>
  <si>
    <t>I-1524</t>
  </si>
  <si>
    <t>12/17/2017</t>
  </si>
  <si>
    <t>I-1525</t>
  </si>
  <si>
    <t>Steven Green</t>
  </si>
  <si>
    <t>I-1526</t>
  </si>
  <si>
    <t>12/27/2016</t>
  </si>
  <si>
    <t>I-1527</t>
  </si>
  <si>
    <t>4/21/2016</t>
  </si>
  <si>
    <t>I-1528</t>
  </si>
  <si>
    <t>10/18/2017</t>
  </si>
  <si>
    <t>I-1529</t>
  </si>
  <si>
    <t>Shelley Lock</t>
  </si>
  <si>
    <t>I-1530</t>
  </si>
  <si>
    <t>I-1531</t>
  </si>
  <si>
    <t>I-1532</t>
  </si>
  <si>
    <t>David Johnson</t>
  </si>
  <si>
    <t>I-1533</t>
  </si>
  <si>
    <t>2/15/2017</t>
  </si>
  <si>
    <t>I-1534</t>
  </si>
  <si>
    <t>I-1535</t>
  </si>
  <si>
    <t>6/27/2016</t>
  </si>
  <si>
    <t>I-1536</t>
  </si>
  <si>
    <t>I-1537</t>
  </si>
  <si>
    <t>6/30/2016</t>
  </si>
  <si>
    <t>I-1538</t>
  </si>
  <si>
    <t>1/22/2017</t>
  </si>
  <si>
    <t>I-1539</t>
  </si>
  <si>
    <t>Mark Searle</t>
  </si>
  <si>
    <t>I-1540</t>
  </si>
  <si>
    <t>10/19/2016</t>
  </si>
  <si>
    <t>Richard Hughes</t>
  </si>
  <si>
    <t>I-1541</t>
  </si>
  <si>
    <t>I-1542</t>
  </si>
  <si>
    <t>I-1543</t>
  </si>
  <si>
    <t>I-1544</t>
  </si>
  <si>
    <t>5/14/2015</t>
  </si>
  <si>
    <t>I-1545</t>
  </si>
  <si>
    <t>I-1546</t>
  </si>
  <si>
    <t>4/21/2015</t>
  </si>
  <si>
    <t>I-1547</t>
  </si>
  <si>
    <t>I-1548</t>
  </si>
  <si>
    <t>12/19/2018</t>
  </si>
  <si>
    <t>Matthew Crowe</t>
  </si>
  <si>
    <t>I-1549</t>
  </si>
  <si>
    <t>8/17/2016</t>
  </si>
  <si>
    <t>I-1550</t>
  </si>
  <si>
    <t>Roy Cooper</t>
  </si>
  <si>
    <t>I-1551</t>
  </si>
  <si>
    <t>I-1552</t>
  </si>
  <si>
    <t>12/29/2014</t>
  </si>
  <si>
    <t>I-1553</t>
  </si>
  <si>
    <t>11/17/2016</t>
  </si>
  <si>
    <t>I-1554</t>
  </si>
  <si>
    <t>1/17/2017</t>
  </si>
  <si>
    <t>I-1555</t>
  </si>
  <si>
    <t>6/23/2016</t>
  </si>
  <si>
    <t>I-1556</t>
  </si>
  <si>
    <t>I-1557</t>
  </si>
  <si>
    <t>I-1558</t>
  </si>
  <si>
    <t>Anthony Procter</t>
  </si>
  <si>
    <t>I-1559</t>
  </si>
  <si>
    <t>I-1560</t>
  </si>
  <si>
    <t>9/25/2017</t>
  </si>
  <si>
    <t>I-1561</t>
  </si>
  <si>
    <t>I-1562</t>
  </si>
  <si>
    <t>I-1563</t>
  </si>
  <si>
    <t>10/16/2016</t>
  </si>
  <si>
    <t>I-1564</t>
  </si>
  <si>
    <t>7/16/2014</t>
  </si>
  <si>
    <t>Richard Foy</t>
  </si>
  <si>
    <t>I-1565</t>
  </si>
  <si>
    <t>I-1566</t>
  </si>
  <si>
    <t>I-1567</t>
  </si>
  <si>
    <t>5/31/2017</t>
  </si>
  <si>
    <t>Paul Hirst</t>
  </si>
  <si>
    <t>I-1568</t>
  </si>
  <si>
    <t>6/16/2017</t>
  </si>
  <si>
    <t>Philip Tubbs</t>
  </si>
  <si>
    <t>I-1569</t>
  </si>
  <si>
    <t>I-1570</t>
  </si>
  <si>
    <t>8/13/2014</t>
  </si>
  <si>
    <t>Alan Grant</t>
  </si>
  <si>
    <t>I-1571</t>
  </si>
  <si>
    <t>3/31/2016</t>
  </si>
  <si>
    <t>I-1572</t>
  </si>
  <si>
    <t>I-1573</t>
  </si>
  <si>
    <t>I-1574</t>
  </si>
  <si>
    <t>Daniel Battersby</t>
  </si>
  <si>
    <t>I-1575</t>
  </si>
  <si>
    <t>1/13/2018</t>
  </si>
  <si>
    <t>I-1576</t>
  </si>
  <si>
    <t>12/23/2015</t>
  </si>
  <si>
    <t>Abdul Amos</t>
  </si>
  <si>
    <t>I-1577</t>
  </si>
  <si>
    <t>Rose Rowntree</t>
  </si>
  <si>
    <t>I-1578</t>
  </si>
  <si>
    <t>I-1579</t>
  </si>
  <si>
    <t>George Stevenson</t>
  </si>
  <si>
    <t>I-1580</t>
  </si>
  <si>
    <t>1/16/2017</t>
  </si>
  <si>
    <t>Kevin Curtis</t>
  </si>
  <si>
    <t>I-1581</t>
  </si>
  <si>
    <t>I-1582</t>
  </si>
  <si>
    <t>I-1583</t>
  </si>
  <si>
    <t>4/27/2017</t>
  </si>
  <si>
    <t>I-1584</t>
  </si>
  <si>
    <t>9/20/2016</t>
  </si>
  <si>
    <t>Kate Nash</t>
  </si>
  <si>
    <t>I-1585</t>
  </si>
  <si>
    <t>I-1586</t>
  </si>
  <si>
    <t>I-1587</t>
  </si>
  <si>
    <t>4/22/2014</t>
  </si>
  <si>
    <t>Christopher Griffith</t>
  </si>
  <si>
    <t>I-1588</t>
  </si>
  <si>
    <t>Peter Jago</t>
  </si>
  <si>
    <t>I-1589</t>
  </si>
  <si>
    <t>I-1590</t>
  </si>
  <si>
    <t>5/14/2017</t>
  </si>
  <si>
    <t>Jacqueline Green</t>
  </si>
  <si>
    <t>I-1591</t>
  </si>
  <si>
    <t>I-1592</t>
  </si>
  <si>
    <t>11/13/2015</t>
  </si>
  <si>
    <t>Jeremy Bannister</t>
  </si>
  <si>
    <t>I-1593</t>
  </si>
  <si>
    <t>4/19/2017</t>
  </si>
  <si>
    <t>Richard Dewar</t>
  </si>
  <si>
    <t>I-1594</t>
  </si>
  <si>
    <t>8/14/2017</t>
  </si>
  <si>
    <t>I-1595</t>
  </si>
  <si>
    <t>I-1596</t>
  </si>
  <si>
    <t>11/22/2018</t>
  </si>
  <si>
    <t>John Verma</t>
  </si>
  <si>
    <t>I-1597</t>
  </si>
  <si>
    <t>I-1598</t>
  </si>
  <si>
    <t>I-1599</t>
  </si>
  <si>
    <t>I-1600</t>
  </si>
  <si>
    <t>1/13/2017</t>
  </si>
  <si>
    <t>I-1601</t>
  </si>
  <si>
    <t>4/18/2018</t>
  </si>
  <si>
    <t>I-1602</t>
  </si>
  <si>
    <t>I-1603</t>
  </si>
  <si>
    <t>I-1604</t>
  </si>
  <si>
    <t>8/22/2015</t>
  </si>
  <si>
    <t>I-1605</t>
  </si>
  <si>
    <t>4/30/2016</t>
  </si>
  <si>
    <t>Olive Foster</t>
  </si>
  <si>
    <t>I-1606</t>
  </si>
  <si>
    <t>5/15/2014</t>
  </si>
  <si>
    <t>Jonathan Will</t>
  </si>
  <si>
    <t>I-1607</t>
  </si>
  <si>
    <t>1/15/2016</t>
  </si>
  <si>
    <t>I-1608</t>
  </si>
  <si>
    <t>8/15/2016</t>
  </si>
  <si>
    <t>Nicholas Goude</t>
  </si>
  <si>
    <t>I-1609</t>
  </si>
  <si>
    <t>4/26/2014</t>
  </si>
  <si>
    <t>I-1610</t>
  </si>
  <si>
    <t>I-1611</t>
  </si>
  <si>
    <t>10/20/2014</t>
  </si>
  <si>
    <t>I-1612</t>
  </si>
  <si>
    <t>I-1613</t>
  </si>
  <si>
    <t>Robert Stocks</t>
  </si>
  <si>
    <t>I-1614</t>
  </si>
  <si>
    <t>Kevin Goad</t>
  </si>
  <si>
    <t>I-1615</t>
  </si>
  <si>
    <t>Terence Jones</t>
  </si>
  <si>
    <t>I-1616</t>
  </si>
  <si>
    <t>I-1617</t>
  </si>
  <si>
    <t>4/20/2015</t>
  </si>
  <si>
    <t>I-1618</t>
  </si>
  <si>
    <t>10/22/2014</t>
  </si>
  <si>
    <t>I-1619</t>
  </si>
  <si>
    <t>6/16/2018</t>
  </si>
  <si>
    <t>I-1620</t>
  </si>
  <si>
    <t>I-1621</t>
  </si>
  <si>
    <t>3/16/2016</t>
  </si>
  <si>
    <t>Suzanna Davies</t>
  </si>
  <si>
    <t>I-1622</t>
  </si>
  <si>
    <t>I-1623</t>
  </si>
  <si>
    <t>I-1624</t>
  </si>
  <si>
    <t>I-1625</t>
  </si>
  <si>
    <t>I-1626</t>
  </si>
  <si>
    <t>I-1627</t>
  </si>
  <si>
    <t>7/24/2015</t>
  </si>
  <si>
    <t>I-1628</t>
  </si>
  <si>
    <t>10/20/2016</t>
  </si>
  <si>
    <t>I-1629</t>
  </si>
  <si>
    <t>9/22/2015</t>
  </si>
  <si>
    <t>I-1630</t>
  </si>
  <si>
    <t>9/29/2015</t>
  </si>
  <si>
    <t>I-1631</t>
  </si>
  <si>
    <t>Lucy Downs</t>
  </si>
  <si>
    <t>I-1632</t>
  </si>
  <si>
    <t>8/16/2014</t>
  </si>
  <si>
    <t>I-1633</t>
  </si>
  <si>
    <t>Austin Parsons</t>
  </si>
  <si>
    <t>I-1634</t>
  </si>
  <si>
    <t>I-1635</t>
  </si>
  <si>
    <t>I-1636</t>
  </si>
  <si>
    <t>Jesus Timmins</t>
  </si>
  <si>
    <t>I-1637</t>
  </si>
  <si>
    <t>2/17/2015</t>
  </si>
  <si>
    <t>I-1638</t>
  </si>
  <si>
    <t>7/24/2017</t>
  </si>
  <si>
    <t>Gary Mistry</t>
  </si>
  <si>
    <t>I-1639</t>
  </si>
  <si>
    <t>Michael Wood</t>
  </si>
  <si>
    <t>I-1640</t>
  </si>
  <si>
    <t>I-1641</t>
  </si>
  <si>
    <t>I-1642</t>
  </si>
  <si>
    <t>1/18/2015</t>
  </si>
  <si>
    <t>I-1643</t>
  </si>
  <si>
    <t>10/24/2015</t>
  </si>
  <si>
    <t>I-1644</t>
  </si>
  <si>
    <t>12/16/2014</t>
  </si>
  <si>
    <t>Anthony Rothery</t>
  </si>
  <si>
    <t>I-1645</t>
  </si>
  <si>
    <t>Iftikhar Haywood</t>
  </si>
  <si>
    <t>I-1646</t>
  </si>
  <si>
    <t>12/14/2015</t>
  </si>
  <si>
    <t>I-1647</t>
  </si>
  <si>
    <t>7/13/2017</t>
  </si>
  <si>
    <t>I-1648</t>
  </si>
  <si>
    <t>I-1649</t>
  </si>
  <si>
    <t>10/26/2018</t>
  </si>
  <si>
    <t>I-1650</t>
  </si>
  <si>
    <t>8/28/2016</t>
  </si>
  <si>
    <t>I-1651</t>
  </si>
  <si>
    <t>I-1652</t>
  </si>
  <si>
    <t>I-1653</t>
  </si>
  <si>
    <t>I-1654</t>
  </si>
  <si>
    <t>I-1655</t>
  </si>
  <si>
    <t>I-1656</t>
  </si>
  <si>
    <t>I-1657</t>
  </si>
  <si>
    <t>I-1658</t>
  </si>
  <si>
    <t>George Sherwin</t>
  </si>
  <si>
    <t>I-1659</t>
  </si>
  <si>
    <t>I-1660</t>
  </si>
  <si>
    <t>Ken Mishra</t>
  </si>
  <si>
    <t>I-1661</t>
  </si>
  <si>
    <t>Amelia Scott</t>
  </si>
  <si>
    <t>I-1662</t>
  </si>
  <si>
    <t>10/13/2016</t>
  </si>
  <si>
    <t>Stephen Neville</t>
  </si>
  <si>
    <t>I-1663</t>
  </si>
  <si>
    <t>I-1664</t>
  </si>
  <si>
    <t>I-1665</t>
  </si>
  <si>
    <t>Alexander Uddin</t>
  </si>
  <si>
    <t>I-1666</t>
  </si>
  <si>
    <t>I-1667</t>
  </si>
  <si>
    <t>2/22/2018</t>
  </si>
  <si>
    <t>I-1668</t>
  </si>
  <si>
    <t>I-1669</t>
  </si>
  <si>
    <t>11/16/2018</t>
  </si>
  <si>
    <t>I-1670</t>
  </si>
  <si>
    <t>I-1671</t>
  </si>
  <si>
    <t>2/18/2015</t>
  </si>
  <si>
    <t>I-1672</t>
  </si>
  <si>
    <t>Robert Faulkner</t>
  </si>
  <si>
    <t>I-1673</t>
  </si>
  <si>
    <t>I-1674</t>
  </si>
  <si>
    <t>8/18/2017</t>
  </si>
  <si>
    <t>Rachel Howard</t>
  </si>
  <si>
    <t>I-1675</t>
  </si>
  <si>
    <t>I-1676</t>
  </si>
  <si>
    <t>11/29/2016</t>
  </si>
  <si>
    <t>I-1677</t>
  </si>
  <si>
    <t>8/17/2018</t>
  </si>
  <si>
    <t>John Curtis</t>
  </si>
  <si>
    <t>I-1678</t>
  </si>
  <si>
    <t>Catherine Gagg</t>
  </si>
  <si>
    <t>I-1679</t>
  </si>
  <si>
    <t>I-1680</t>
  </si>
  <si>
    <t>Colin Patel</t>
  </si>
  <si>
    <t>I-1681</t>
  </si>
  <si>
    <t>Robert Tattersall</t>
  </si>
  <si>
    <t>I-1682</t>
  </si>
  <si>
    <t>Diane Batty</t>
  </si>
  <si>
    <t>I-1683</t>
  </si>
  <si>
    <t>I-1684</t>
  </si>
  <si>
    <t>I-1685</t>
  </si>
  <si>
    <t>7/23/2015</t>
  </si>
  <si>
    <t>I-1686</t>
  </si>
  <si>
    <t>I-1687</t>
  </si>
  <si>
    <t>I-1688</t>
  </si>
  <si>
    <t>11/29/2015</t>
  </si>
  <si>
    <t>I-1689</t>
  </si>
  <si>
    <t>Frank Murray</t>
  </si>
  <si>
    <t>I-1690</t>
  </si>
  <si>
    <t>8/25/2014</t>
  </si>
  <si>
    <t>I-1691</t>
  </si>
  <si>
    <t>I-1692</t>
  </si>
  <si>
    <t>8/29/2016</t>
  </si>
  <si>
    <t>Noel Bull</t>
  </si>
  <si>
    <t>I-1693</t>
  </si>
  <si>
    <t>I-1694</t>
  </si>
  <si>
    <t>5/29/2017</t>
  </si>
  <si>
    <t>I-1695</t>
  </si>
  <si>
    <t>I-1696</t>
  </si>
  <si>
    <t>I-1697</t>
  </si>
  <si>
    <t>Lloyd Norton</t>
  </si>
  <si>
    <t>I-1698</t>
  </si>
  <si>
    <t>Glenys Raymond</t>
  </si>
  <si>
    <t>I-1699</t>
  </si>
  <si>
    <t>8/26/2015</t>
  </si>
  <si>
    <t>I-1700</t>
  </si>
  <si>
    <t>I-1701</t>
  </si>
  <si>
    <t>I-1702</t>
  </si>
  <si>
    <t>I-1703</t>
  </si>
  <si>
    <t>10/27/2017</t>
  </si>
  <si>
    <t>Heather Beck</t>
  </si>
  <si>
    <t>I-1704</t>
  </si>
  <si>
    <t>I-1705</t>
  </si>
  <si>
    <t>I-1706</t>
  </si>
  <si>
    <t>8/20/2016</t>
  </si>
  <si>
    <t>I-1707</t>
  </si>
  <si>
    <t>I-1708</t>
  </si>
  <si>
    <t>2/19/2018</t>
  </si>
  <si>
    <t>I-1709</t>
  </si>
  <si>
    <t>10/21/2014</t>
  </si>
  <si>
    <t>Nicola Hewitt</t>
  </si>
  <si>
    <t>I-1710</t>
  </si>
  <si>
    <t>I-1711</t>
  </si>
  <si>
    <t>I-1712</t>
  </si>
  <si>
    <t>I-1713</t>
  </si>
  <si>
    <t>I-1714</t>
  </si>
  <si>
    <t>I-1715</t>
  </si>
  <si>
    <t>7/26/2017</t>
  </si>
  <si>
    <t>I-1716</t>
  </si>
  <si>
    <t>4/29/2014</t>
  </si>
  <si>
    <t>I-1717</t>
  </si>
  <si>
    <t>I-1718</t>
  </si>
  <si>
    <t>10/20/2015</t>
  </si>
  <si>
    <t>I-1719</t>
  </si>
  <si>
    <t>I-1720</t>
  </si>
  <si>
    <t>7/23/2014</t>
  </si>
  <si>
    <t>I-1721</t>
  </si>
  <si>
    <t>I-1722</t>
  </si>
  <si>
    <t>Nicola Williams</t>
  </si>
  <si>
    <t>I-1723</t>
  </si>
  <si>
    <t>Marie Hewitt</t>
  </si>
  <si>
    <t>I-1724</t>
  </si>
  <si>
    <t>2/26/2018</t>
  </si>
  <si>
    <t>I-1725</t>
  </si>
  <si>
    <t>I-1726</t>
  </si>
  <si>
    <t>10/26/2015</t>
  </si>
  <si>
    <t>I-1727</t>
  </si>
  <si>
    <t>9/24/2015</t>
  </si>
  <si>
    <t>I-1728</t>
  </si>
  <si>
    <t>7/17/2017</t>
  </si>
  <si>
    <t>I-1729</t>
  </si>
  <si>
    <t>5/18/2018</t>
  </si>
  <si>
    <t>I-1730</t>
  </si>
  <si>
    <t>5/16/2016</t>
  </si>
  <si>
    <t>I-1731</t>
  </si>
  <si>
    <t>I-1732</t>
  </si>
  <si>
    <t>11/28/2016</t>
  </si>
  <si>
    <t>Emma Westbrook</t>
  </si>
  <si>
    <t>I-1733</t>
  </si>
  <si>
    <t>I-1734</t>
  </si>
  <si>
    <t>4/16/2014</t>
  </si>
  <si>
    <t>Susan Goude</t>
  </si>
  <si>
    <t>I-1735</t>
  </si>
  <si>
    <t>I-1736</t>
  </si>
  <si>
    <t>I-1737</t>
  </si>
  <si>
    <t>I-1738</t>
  </si>
  <si>
    <t>12/28/2018</t>
  </si>
  <si>
    <t>I-1739</t>
  </si>
  <si>
    <t>8/26/2016</t>
  </si>
  <si>
    <t>I-1740</t>
  </si>
  <si>
    <t>I-1741</t>
  </si>
  <si>
    <t>I-1742</t>
  </si>
  <si>
    <t>I-1743</t>
  </si>
  <si>
    <t>I-1744</t>
  </si>
  <si>
    <t>Frances Weller</t>
  </si>
  <si>
    <t>I-1745</t>
  </si>
  <si>
    <t>9/27/2015</t>
  </si>
  <si>
    <t>I-1746</t>
  </si>
  <si>
    <t>4/16/2018</t>
  </si>
  <si>
    <t>Barry Smith</t>
  </si>
  <si>
    <t>I-1747</t>
  </si>
  <si>
    <t>I-1748</t>
  </si>
  <si>
    <t>I-1749</t>
  </si>
  <si>
    <t>6/17/2017</t>
  </si>
  <si>
    <t>Phillip Clarke</t>
  </si>
  <si>
    <t>I-1750</t>
  </si>
  <si>
    <t>12/30/2018</t>
  </si>
  <si>
    <t>I-1751</t>
  </si>
  <si>
    <t>3/28/2017</t>
  </si>
  <si>
    <t>I-1752</t>
  </si>
  <si>
    <t>Susan Luker</t>
  </si>
  <si>
    <t>I-1753</t>
  </si>
  <si>
    <t>11/27/2018</t>
  </si>
  <si>
    <t>I-1754</t>
  </si>
  <si>
    <t>12/25/2015</t>
  </si>
  <si>
    <t>I-1755</t>
  </si>
  <si>
    <t>Bruce Neville</t>
  </si>
  <si>
    <t>I-1756</t>
  </si>
  <si>
    <t>6/14/2014</t>
  </si>
  <si>
    <t>Martin Timmins</t>
  </si>
  <si>
    <t>I-1757</t>
  </si>
  <si>
    <t>11/13/2017</t>
  </si>
  <si>
    <t>I-1758</t>
  </si>
  <si>
    <t>I-1759</t>
  </si>
  <si>
    <t>8/30/2014</t>
  </si>
  <si>
    <t>I-1760</t>
  </si>
  <si>
    <t>I-1761</t>
  </si>
  <si>
    <t>I-1762</t>
  </si>
  <si>
    <t>2/21/2018</t>
  </si>
  <si>
    <t>I-1763</t>
  </si>
  <si>
    <t>12/31/2018</t>
  </si>
  <si>
    <t>I-1764</t>
  </si>
  <si>
    <t>9/23/2014</t>
  </si>
  <si>
    <t>James Stephen</t>
  </si>
  <si>
    <t>I-1765</t>
  </si>
  <si>
    <t>6/17/2015</t>
  </si>
  <si>
    <t>I-1766</t>
  </si>
  <si>
    <t>David Townsend</t>
  </si>
  <si>
    <t>I-1767</t>
  </si>
  <si>
    <t>I-1768</t>
  </si>
  <si>
    <t>2/24/2016</t>
  </si>
  <si>
    <t>I-1769</t>
  </si>
  <si>
    <t>12/19/2017</t>
  </si>
  <si>
    <t>I-1770</t>
  </si>
  <si>
    <t>Paul Munday</t>
  </si>
  <si>
    <t>I-1771</t>
  </si>
  <si>
    <t>8/27/2017</t>
  </si>
  <si>
    <t>I-1772</t>
  </si>
  <si>
    <t>10/17/2017</t>
  </si>
  <si>
    <t>I-1773</t>
  </si>
  <si>
    <t>I-1774</t>
  </si>
  <si>
    <t>I-1775</t>
  </si>
  <si>
    <t>9/24/2017</t>
  </si>
  <si>
    <t>I-1776</t>
  </si>
  <si>
    <t>7/29/2018</t>
  </si>
  <si>
    <t>I-1777</t>
  </si>
  <si>
    <t>7/30/2014</t>
  </si>
  <si>
    <t>I-1778</t>
  </si>
  <si>
    <t>Nick Denny</t>
  </si>
  <si>
    <t>I-1779</t>
  </si>
  <si>
    <t>David Dorey</t>
  </si>
  <si>
    <t>I-1780</t>
  </si>
  <si>
    <t>I-1781</t>
  </si>
  <si>
    <t>I-1782</t>
  </si>
  <si>
    <t>David Romero</t>
  </si>
  <si>
    <t>I-1783</t>
  </si>
  <si>
    <t>3/19/2017</t>
  </si>
  <si>
    <t>I-1784</t>
  </si>
  <si>
    <t>10/25/2015</t>
  </si>
  <si>
    <t>Phillip Humphreys</t>
  </si>
  <si>
    <t>I-1785</t>
  </si>
  <si>
    <t>Robert Salisbury</t>
  </si>
  <si>
    <t>I-1786</t>
  </si>
  <si>
    <t>I-1787</t>
  </si>
  <si>
    <t>I-1788</t>
  </si>
  <si>
    <t>Edward Jenkins</t>
  </si>
  <si>
    <t>I-1789</t>
  </si>
  <si>
    <t>Ron Goodman</t>
  </si>
  <si>
    <t>I-1790</t>
  </si>
  <si>
    <t>3/16/2017</t>
  </si>
  <si>
    <t>I-1791</t>
  </si>
  <si>
    <t>Saffron Cruse</t>
  </si>
  <si>
    <t>I-1792</t>
  </si>
  <si>
    <t>I-1793</t>
  </si>
  <si>
    <t>10/16/2018</t>
  </si>
  <si>
    <t>I-1794</t>
  </si>
  <si>
    <t>I-1795</t>
  </si>
  <si>
    <t>I-1796</t>
  </si>
  <si>
    <t>I-1797</t>
  </si>
  <si>
    <t>1/30/2016</t>
  </si>
  <si>
    <t>I-1798</t>
  </si>
  <si>
    <t>I-1799</t>
  </si>
  <si>
    <t>Fatima James</t>
  </si>
  <si>
    <t>I-1800</t>
  </si>
  <si>
    <t>11/18/2018</t>
  </si>
  <si>
    <t>I-1801</t>
  </si>
  <si>
    <t>7/14/2017</t>
  </si>
  <si>
    <t>I-1802</t>
  </si>
  <si>
    <t>3/15/2017</t>
  </si>
  <si>
    <t>I-1803</t>
  </si>
  <si>
    <t>I-1804</t>
  </si>
  <si>
    <t>I-1805</t>
  </si>
  <si>
    <t>I-1806</t>
  </si>
  <si>
    <t>11/23/2015</t>
  </si>
  <si>
    <t>I-1807</t>
  </si>
  <si>
    <t>I-1808</t>
  </si>
  <si>
    <t>2/23/2017</t>
  </si>
  <si>
    <t>I-1809</t>
  </si>
  <si>
    <t>I-1810</t>
  </si>
  <si>
    <t>I-1811</t>
  </si>
  <si>
    <t>I-1812</t>
  </si>
  <si>
    <t>12/22/2018</t>
  </si>
  <si>
    <t>Rory Bullion</t>
  </si>
  <si>
    <t>I-1813</t>
  </si>
  <si>
    <t>5/14/2016</t>
  </si>
  <si>
    <t>I-1814</t>
  </si>
  <si>
    <t>11/26/2016</t>
  </si>
  <si>
    <t>I-1815</t>
  </si>
  <si>
    <t>Paul Power</t>
  </si>
  <si>
    <t>I-1816</t>
  </si>
  <si>
    <t>3/21/2015</t>
  </si>
  <si>
    <t>I-1817</t>
  </si>
  <si>
    <t>I-1818</t>
  </si>
  <si>
    <t>I-1819</t>
  </si>
  <si>
    <t>I-1820</t>
  </si>
  <si>
    <t>8/13/2017</t>
  </si>
  <si>
    <t>I-1821</t>
  </si>
  <si>
    <t>I-1822</t>
  </si>
  <si>
    <t>I-1823</t>
  </si>
  <si>
    <t>I-1824</t>
  </si>
  <si>
    <t>1/14/2017</t>
  </si>
  <si>
    <t>I-1825</t>
  </si>
  <si>
    <t>I-1826</t>
  </si>
  <si>
    <t>Ketan Bryan</t>
  </si>
  <si>
    <t>I-1827</t>
  </si>
  <si>
    <t>I-1828</t>
  </si>
  <si>
    <t>12/17/2018</t>
  </si>
  <si>
    <t>I-1829</t>
  </si>
  <si>
    <t>I-1830</t>
  </si>
  <si>
    <t>I-1831</t>
  </si>
  <si>
    <t>11/20/2016</t>
  </si>
  <si>
    <t>I-1832</t>
  </si>
  <si>
    <t>1/28/2018</t>
  </si>
  <si>
    <t>Noel Hardy</t>
  </si>
  <si>
    <t>I-1833</t>
  </si>
  <si>
    <t>Kyle Walter</t>
  </si>
  <si>
    <t>I-1834</t>
  </si>
  <si>
    <t>12/15/2018</t>
  </si>
  <si>
    <t>Gillian Rodrigues</t>
  </si>
  <si>
    <t>I-1835</t>
  </si>
  <si>
    <t>I-1836</t>
  </si>
  <si>
    <t>Nicola Rea</t>
  </si>
  <si>
    <t>I-1837</t>
  </si>
  <si>
    <t>7/19/2018</t>
  </si>
  <si>
    <t>I-1838</t>
  </si>
  <si>
    <t>Peter Allan</t>
  </si>
  <si>
    <t>I-1839</t>
  </si>
  <si>
    <t>1/31/2015</t>
  </si>
  <si>
    <t>I-1840</t>
  </si>
  <si>
    <t>6/19/2016</t>
  </si>
  <si>
    <t>I-1841</t>
  </si>
  <si>
    <t>I-1842</t>
  </si>
  <si>
    <t>I-1843</t>
  </si>
  <si>
    <t>I-1844</t>
  </si>
  <si>
    <t>I-1845</t>
  </si>
  <si>
    <t>I-1846</t>
  </si>
  <si>
    <t>2/13/2016</t>
  </si>
  <si>
    <t>I-1847</t>
  </si>
  <si>
    <t>I-1848</t>
  </si>
  <si>
    <t>I-1849</t>
  </si>
  <si>
    <t>I-1850</t>
  </si>
  <si>
    <t>1/15/2018</t>
  </si>
  <si>
    <t>I-1851</t>
  </si>
  <si>
    <t>7/16/2018</t>
  </si>
  <si>
    <t>I-1852</t>
  </si>
  <si>
    <t>6/29/2016</t>
  </si>
  <si>
    <t>I-1853</t>
  </si>
  <si>
    <t>I-1854</t>
  </si>
  <si>
    <t>I-1855</t>
  </si>
  <si>
    <t>I-1856</t>
  </si>
  <si>
    <t>I-1857</t>
  </si>
  <si>
    <t>I-1858</t>
  </si>
  <si>
    <t>I-1859</t>
  </si>
  <si>
    <t>Baljinder Anderson</t>
  </si>
  <si>
    <t>I-1860</t>
  </si>
  <si>
    <t>4/13/2018</t>
  </si>
  <si>
    <t>I-1861</t>
  </si>
  <si>
    <t>12/15/2015</t>
  </si>
  <si>
    <t>I-1862</t>
  </si>
  <si>
    <t>11/30/2017</t>
  </si>
  <si>
    <t>I-1863</t>
  </si>
  <si>
    <t>5/18/2017</t>
  </si>
  <si>
    <t>I-1864</t>
  </si>
  <si>
    <t>I-1865</t>
  </si>
  <si>
    <t>I-1866</t>
  </si>
  <si>
    <t>I-1867</t>
  </si>
  <si>
    <t>I-1868</t>
  </si>
  <si>
    <t>1/19/2014</t>
  </si>
  <si>
    <t>I-1869</t>
  </si>
  <si>
    <t>7/29/2017</t>
  </si>
  <si>
    <t>I-1870</t>
  </si>
  <si>
    <t>12/18/2017</t>
  </si>
  <si>
    <t>I-1871</t>
  </si>
  <si>
    <t>2/26/2017</t>
  </si>
  <si>
    <t>I-1872</t>
  </si>
  <si>
    <t>I-1873</t>
  </si>
  <si>
    <t>I-1874</t>
  </si>
  <si>
    <t>I-1875</t>
  </si>
  <si>
    <t>1/24/2016</t>
  </si>
  <si>
    <t>I-1876</t>
  </si>
  <si>
    <t>11/24/2014</t>
  </si>
  <si>
    <t>I-1877</t>
  </si>
  <si>
    <t>1/13/2014</t>
  </si>
  <si>
    <t>I-1878</t>
  </si>
  <si>
    <t>11/14/2016</t>
  </si>
  <si>
    <t>I-1879</t>
  </si>
  <si>
    <t>10/15/2017</t>
  </si>
  <si>
    <t>I-1880</t>
  </si>
  <si>
    <t>I-1881</t>
  </si>
  <si>
    <t>8/22/2014</t>
  </si>
  <si>
    <t>I-1882</t>
  </si>
  <si>
    <t>I-1883</t>
  </si>
  <si>
    <t>I-1884</t>
  </si>
  <si>
    <t>11/19/2018</t>
  </si>
  <si>
    <t>I-1885</t>
  </si>
  <si>
    <t>Brendon Sykes</t>
  </si>
  <si>
    <t>I-1886</t>
  </si>
  <si>
    <t>I-1887</t>
  </si>
  <si>
    <t>April Childs</t>
  </si>
  <si>
    <t>I-1888</t>
  </si>
  <si>
    <t>Andrew Harris</t>
  </si>
  <si>
    <t>I-1889</t>
  </si>
  <si>
    <t>I-1890</t>
  </si>
  <si>
    <t>Maureen Haymes</t>
  </si>
  <si>
    <t>I-1891</t>
  </si>
  <si>
    <t>1/14/2018</t>
  </si>
  <si>
    <t>I-1892</t>
  </si>
  <si>
    <t>Rita Jenkins</t>
  </si>
  <si>
    <t>I-1893</t>
  </si>
  <si>
    <t>I-1894</t>
  </si>
  <si>
    <t>12/17/2016</t>
  </si>
  <si>
    <t>Gillian Harris</t>
  </si>
  <si>
    <t>I-1895</t>
  </si>
  <si>
    <t>I-1896</t>
  </si>
  <si>
    <t>I-1897</t>
  </si>
  <si>
    <t>I-1898</t>
  </si>
  <si>
    <t>I-1899</t>
  </si>
  <si>
    <t>I-1900</t>
  </si>
  <si>
    <t>David Grey</t>
  </si>
  <si>
    <t>I-1901</t>
  </si>
  <si>
    <t>11/16/2014</t>
  </si>
  <si>
    <t>I-1902</t>
  </si>
  <si>
    <t>William Collins</t>
  </si>
  <si>
    <t>I-1903</t>
  </si>
  <si>
    <t>I-1904</t>
  </si>
  <si>
    <t>I-1905</t>
  </si>
  <si>
    <t>I-1906</t>
  </si>
  <si>
    <t>2/20/2017</t>
  </si>
  <si>
    <t>I-1907</t>
  </si>
  <si>
    <t>1/23/2018</t>
  </si>
  <si>
    <t>I-1908</t>
  </si>
  <si>
    <t>I-1909</t>
  </si>
  <si>
    <t>Arthur Carley</t>
  </si>
  <si>
    <t>I-1910</t>
  </si>
  <si>
    <t>4/25/2014</t>
  </si>
  <si>
    <t>I-1911</t>
  </si>
  <si>
    <t>9/27/2016</t>
  </si>
  <si>
    <t>I-1912</t>
  </si>
  <si>
    <t>I-1913</t>
  </si>
  <si>
    <t>Heather Donald</t>
  </si>
  <si>
    <t>I-1914</t>
  </si>
  <si>
    <t>4/30/2015</t>
  </si>
  <si>
    <t>I-1915</t>
  </si>
  <si>
    <t>I-1916</t>
  </si>
  <si>
    <t>I-1917</t>
  </si>
  <si>
    <t>I-1918</t>
  </si>
  <si>
    <t>12/30/2015</t>
  </si>
  <si>
    <t>I-1919</t>
  </si>
  <si>
    <t>8/20/2017</t>
  </si>
  <si>
    <t>I-1920</t>
  </si>
  <si>
    <t>9/17/2015</t>
  </si>
  <si>
    <t>I-1921</t>
  </si>
  <si>
    <t>I-1922</t>
  </si>
  <si>
    <t>I-1923</t>
  </si>
  <si>
    <t>6/14/2018</t>
  </si>
  <si>
    <t>I-1924</t>
  </si>
  <si>
    <t>I-1925</t>
  </si>
  <si>
    <t>I-1926</t>
  </si>
  <si>
    <t>I-1927</t>
  </si>
  <si>
    <t>I-1928</t>
  </si>
  <si>
    <t>I-1929</t>
  </si>
  <si>
    <t>I-1930</t>
  </si>
  <si>
    <t>12/24/2017</t>
  </si>
  <si>
    <t>I-1931</t>
  </si>
  <si>
    <t>Allyson Parker</t>
  </si>
  <si>
    <t>I-1932</t>
  </si>
  <si>
    <t>6/28/2016</t>
  </si>
  <si>
    <t>Alexander Rowntree</t>
  </si>
  <si>
    <t>I-1933</t>
  </si>
  <si>
    <t>I-1934</t>
  </si>
  <si>
    <t>I-1935</t>
  </si>
  <si>
    <t>6/27/2017</t>
  </si>
  <si>
    <t>I-1936</t>
  </si>
  <si>
    <t>I-1937</t>
  </si>
  <si>
    <t>I-1938</t>
  </si>
  <si>
    <t>I-1939</t>
  </si>
  <si>
    <t>9/28/2014</t>
  </si>
  <si>
    <t>I-1940</t>
  </si>
  <si>
    <t>I-1941</t>
  </si>
  <si>
    <t>10/31/2018</t>
  </si>
  <si>
    <t>Dell Lockwood</t>
  </si>
  <si>
    <t>I-1942</t>
  </si>
  <si>
    <t>I-1943</t>
  </si>
  <si>
    <t>I-1944</t>
  </si>
  <si>
    <t>I-1945</t>
  </si>
  <si>
    <t>5/15/2018</t>
  </si>
  <si>
    <t>I-1946</t>
  </si>
  <si>
    <t>10/18/2016</t>
  </si>
  <si>
    <t>I-1947</t>
  </si>
  <si>
    <t>2/15/2014</t>
  </si>
  <si>
    <t>Rachel Deignan</t>
  </si>
  <si>
    <t>I-1948</t>
  </si>
  <si>
    <t>I-1949</t>
  </si>
  <si>
    <t>6/21/2017</t>
  </si>
  <si>
    <t>Russell Thorley</t>
  </si>
  <si>
    <t>I-1950</t>
  </si>
  <si>
    <t>I-1951</t>
  </si>
  <si>
    <t>5/13/2017</t>
  </si>
  <si>
    <t>I-1952</t>
  </si>
  <si>
    <t>12/15/2014</t>
  </si>
  <si>
    <t>I-1953</t>
  </si>
  <si>
    <t>I-1954</t>
  </si>
  <si>
    <t>6/17/2014</t>
  </si>
  <si>
    <t>I-1955</t>
  </si>
  <si>
    <t>I-1956</t>
  </si>
  <si>
    <t>I-1957</t>
  </si>
  <si>
    <t>2/16/2015</t>
  </si>
  <si>
    <t>I-1958</t>
  </si>
  <si>
    <t>I-1959</t>
  </si>
  <si>
    <t>I-1960</t>
  </si>
  <si>
    <t>I-1961</t>
  </si>
  <si>
    <t>I-1962</t>
  </si>
  <si>
    <t>I-1963</t>
  </si>
  <si>
    <t>9/13/2016</t>
  </si>
  <si>
    <t>David Isaacs</t>
  </si>
  <si>
    <t>I-1964</t>
  </si>
  <si>
    <t>I-1965</t>
  </si>
  <si>
    <t>Johanna Collins</t>
  </si>
  <si>
    <t>I-1966</t>
  </si>
  <si>
    <t>I-1967</t>
  </si>
  <si>
    <t>I-1968</t>
  </si>
  <si>
    <t>9/17/2017</t>
  </si>
  <si>
    <t>I-1969</t>
  </si>
  <si>
    <t>10/14/2015</t>
  </si>
  <si>
    <t>I-1970</t>
  </si>
  <si>
    <t>Ryan Pearce</t>
  </si>
  <si>
    <t>I-1971</t>
  </si>
  <si>
    <t>I-1972</t>
  </si>
  <si>
    <t>I-1973</t>
  </si>
  <si>
    <t>I-1974</t>
  </si>
  <si>
    <t>I-1975</t>
  </si>
  <si>
    <t>I-1976</t>
  </si>
  <si>
    <t>I-1977</t>
  </si>
  <si>
    <t>I-1978</t>
  </si>
  <si>
    <t>I-1979</t>
  </si>
  <si>
    <t>4/17/2016</t>
  </si>
  <si>
    <t>I-1980</t>
  </si>
  <si>
    <t>2/27/2014</t>
  </si>
  <si>
    <t>Selwyn Kitching</t>
  </si>
  <si>
    <t>I-1981</t>
  </si>
  <si>
    <t>1/27/2018</t>
  </si>
  <si>
    <t>I-1982</t>
  </si>
  <si>
    <t>I-1983</t>
  </si>
  <si>
    <t>6/21/2018</t>
  </si>
  <si>
    <t>I-1984</t>
  </si>
  <si>
    <t>I-1985</t>
  </si>
  <si>
    <t>I-1986</t>
  </si>
  <si>
    <t>I-1987</t>
  </si>
  <si>
    <t>4/18/2015</t>
  </si>
  <si>
    <t>I-1988</t>
  </si>
  <si>
    <t>1/29/2017</t>
  </si>
  <si>
    <t>I-1989</t>
  </si>
  <si>
    <t>I-1990</t>
  </si>
  <si>
    <t>3/28/2014</t>
  </si>
  <si>
    <t>I-1991</t>
  </si>
  <si>
    <t>I-1992</t>
  </si>
  <si>
    <t>1/16/2016</t>
  </si>
  <si>
    <t>Caroline Gee</t>
  </si>
  <si>
    <t>I-1993</t>
  </si>
  <si>
    <t>1/31/2014</t>
  </si>
  <si>
    <t>I-1994</t>
  </si>
  <si>
    <t>I-1995</t>
  </si>
  <si>
    <t>11/15/2018</t>
  </si>
  <si>
    <t>I-1996</t>
  </si>
  <si>
    <t>Paul Benton</t>
  </si>
  <si>
    <t>I-1997</t>
  </si>
  <si>
    <t>Mark Holmes</t>
  </si>
  <si>
    <t>I-1998</t>
  </si>
  <si>
    <t>10/25/2016</t>
  </si>
  <si>
    <t>I-1999</t>
  </si>
  <si>
    <t>Carol Cormack</t>
  </si>
  <si>
    <t>I-2000</t>
  </si>
  <si>
    <t>I-2001</t>
  </si>
  <si>
    <t>I-2002</t>
  </si>
  <si>
    <t>12/22/2014</t>
  </si>
  <si>
    <t>I-2003</t>
  </si>
  <si>
    <t>I-2004</t>
  </si>
  <si>
    <t>I-2005</t>
  </si>
  <si>
    <t>I-2006</t>
  </si>
  <si>
    <t>I-2007</t>
  </si>
  <si>
    <t>Derek Anderson</t>
  </si>
  <si>
    <t>I-2008</t>
  </si>
  <si>
    <t>5/18/2015</t>
  </si>
  <si>
    <t>I-2009</t>
  </si>
  <si>
    <t>9/16/2016</t>
  </si>
  <si>
    <t>I-2010</t>
  </si>
  <si>
    <t>I-2011</t>
  </si>
  <si>
    <t>Nicola Wright</t>
  </si>
  <si>
    <t>I-2012</t>
  </si>
  <si>
    <t>I-2013</t>
  </si>
  <si>
    <t>3/20/2014</t>
  </si>
  <si>
    <t>I-2014</t>
  </si>
  <si>
    <t>I-2015</t>
  </si>
  <si>
    <t>9/17/2016</t>
  </si>
  <si>
    <t>I-2016</t>
  </si>
  <si>
    <t>John Hetherington</t>
  </si>
  <si>
    <t>I-2017</t>
  </si>
  <si>
    <t>1/20/2016</t>
  </si>
  <si>
    <t>Ian Christian</t>
  </si>
  <si>
    <t>I-2018</t>
  </si>
  <si>
    <t>I-2019</t>
  </si>
  <si>
    <t>I-2020</t>
  </si>
  <si>
    <t>I-2021</t>
  </si>
  <si>
    <t>I-2022</t>
  </si>
  <si>
    <t>12/19/2016</t>
  </si>
  <si>
    <t>I-2023</t>
  </si>
  <si>
    <t>3/20/2015</t>
  </si>
  <si>
    <t>I-2024</t>
  </si>
  <si>
    <t>6/18/2018</t>
  </si>
  <si>
    <t>I-2025</t>
  </si>
  <si>
    <t>I-2026</t>
  </si>
  <si>
    <t>I-2027</t>
  </si>
  <si>
    <t>I-2028</t>
  </si>
  <si>
    <t>12/25/2016</t>
  </si>
  <si>
    <t>I-2029</t>
  </si>
  <si>
    <t>I-2030</t>
  </si>
  <si>
    <t>11/15/2015</t>
  </si>
  <si>
    <t>I-2031</t>
  </si>
  <si>
    <t>1/30/2015</t>
  </si>
  <si>
    <t>I-2032</t>
  </si>
  <si>
    <t>5/21/2016</t>
  </si>
  <si>
    <t>I-2033</t>
  </si>
  <si>
    <t>I-2034</t>
  </si>
  <si>
    <t>I-2035</t>
  </si>
  <si>
    <t>4/27/2014</t>
  </si>
  <si>
    <t>I-2036</t>
  </si>
  <si>
    <t>I-2037</t>
  </si>
  <si>
    <t>I-2038</t>
  </si>
  <si>
    <t>I-2039</t>
  </si>
  <si>
    <t>2/26/2015</t>
  </si>
  <si>
    <t>I-2040</t>
  </si>
  <si>
    <t>I-2041</t>
  </si>
  <si>
    <t>I-2042</t>
  </si>
  <si>
    <t>Richard Kay</t>
  </si>
  <si>
    <t>I-2043</t>
  </si>
  <si>
    <t>5/27/2018</t>
  </si>
  <si>
    <t>I-2044</t>
  </si>
  <si>
    <t>I-2045</t>
  </si>
  <si>
    <t>I-2046</t>
  </si>
  <si>
    <t>I-2047</t>
  </si>
  <si>
    <t>I-2048</t>
  </si>
  <si>
    <t>I-2049</t>
  </si>
  <si>
    <t>I-2050</t>
  </si>
  <si>
    <t>I-2051</t>
  </si>
  <si>
    <t>3/23/2018</t>
  </si>
  <si>
    <t>I-2052</t>
  </si>
  <si>
    <t>5/24/2018</t>
  </si>
  <si>
    <t>I-2053</t>
  </si>
  <si>
    <t>I-2054</t>
  </si>
  <si>
    <t>I-2055</t>
  </si>
  <si>
    <t>I-2056</t>
  </si>
  <si>
    <t>5/13/2015</t>
  </si>
  <si>
    <t>I-2057</t>
  </si>
  <si>
    <t>I-2058</t>
  </si>
  <si>
    <t>I-2059</t>
  </si>
  <si>
    <t>4/17/2017</t>
  </si>
  <si>
    <t>I-2060</t>
  </si>
  <si>
    <t>I-2061</t>
  </si>
  <si>
    <t>I-2062</t>
  </si>
  <si>
    <t>7/26/2016</t>
  </si>
  <si>
    <t>I-2063</t>
  </si>
  <si>
    <t>I-2064</t>
  </si>
  <si>
    <t>I-2065</t>
  </si>
  <si>
    <t>I-2066</t>
  </si>
  <si>
    <t>I-2067</t>
  </si>
  <si>
    <t>I-2068</t>
  </si>
  <si>
    <t>I-2069</t>
  </si>
  <si>
    <t>6/24/2017</t>
  </si>
  <si>
    <t>I-2070</t>
  </si>
  <si>
    <t>12/27/2018</t>
  </si>
  <si>
    <t>I-2071</t>
  </si>
  <si>
    <t>7/17/2018</t>
  </si>
  <si>
    <t>I-2072</t>
  </si>
  <si>
    <t>I-2073</t>
  </si>
  <si>
    <t>I-2074</t>
  </si>
  <si>
    <t>I-2075</t>
  </si>
  <si>
    <t>3/15/2014</t>
  </si>
  <si>
    <t>I-2076</t>
  </si>
  <si>
    <t>3/15/2018</t>
  </si>
  <si>
    <t>I-2077</t>
  </si>
  <si>
    <t>I-2078</t>
  </si>
  <si>
    <t>I-2079</t>
  </si>
  <si>
    <t>I-2080</t>
  </si>
  <si>
    <t>I-2081</t>
  </si>
  <si>
    <t>Nicole Ford</t>
  </si>
  <si>
    <t>I-2082</t>
  </si>
  <si>
    <t>I-2083</t>
  </si>
  <si>
    <t>I-2084</t>
  </si>
  <si>
    <t>I-2085</t>
  </si>
  <si>
    <t>I-2086</t>
  </si>
  <si>
    <t>I-2087</t>
  </si>
  <si>
    <t>Alastair Mills</t>
  </si>
  <si>
    <t>I-2088</t>
  </si>
  <si>
    <t>1/25/2017</t>
  </si>
  <si>
    <t>I-2089</t>
  </si>
  <si>
    <t>11/21/2018</t>
  </si>
  <si>
    <t>I-2090</t>
  </si>
  <si>
    <t>I-2091</t>
  </si>
  <si>
    <t>10/24/2016</t>
  </si>
  <si>
    <t>I-2092</t>
  </si>
  <si>
    <t>I-2093</t>
  </si>
  <si>
    <t>I-2094</t>
  </si>
  <si>
    <t>11/19/2017</t>
  </si>
  <si>
    <t>I-2095</t>
  </si>
  <si>
    <t>I-2096</t>
  </si>
  <si>
    <t>8/13/2015</t>
  </si>
  <si>
    <t>I-2097</t>
  </si>
  <si>
    <t>I-2098</t>
  </si>
  <si>
    <t>3/30/2018</t>
  </si>
  <si>
    <t>I-2099</t>
  </si>
  <si>
    <t>7/27/2016</t>
  </si>
  <si>
    <t>I-2100</t>
  </si>
  <si>
    <t>I-2101</t>
  </si>
  <si>
    <t>I-2102</t>
  </si>
  <si>
    <t>Darren Webb</t>
  </si>
  <si>
    <t>I-2103</t>
  </si>
  <si>
    <t>I-2104</t>
  </si>
  <si>
    <t>4/30/2018</t>
  </si>
  <si>
    <t>I-2105</t>
  </si>
  <si>
    <t>I-2106</t>
  </si>
  <si>
    <t>5/23/2017</t>
  </si>
  <si>
    <t>I-2107</t>
  </si>
  <si>
    <t>9/13/2017</t>
  </si>
  <si>
    <t>I-2108</t>
  </si>
  <si>
    <t>I-2109</t>
  </si>
  <si>
    <t>I-2110</t>
  </si>
  <si>
    <t>I-2111</t>
  </si>
  <si>
    <t>I-2112</t>
  </si>
  <si>
    <t>I-2113</t>
  </si>
  <si>
    <t>I-2114</t>
  </si>
  <si>
    <t>I-2115</t>
  </si>
  <si>
    <t>I-2116</t>
  </si>
  <si>
    <t>I-2117</t>
  </si>
  <si>
    <t>I-2118</t>
  </si>
  <si>
    <t>I-2119</t>
  </si>
  <si>
    <t>5/15/2016</t>
  </si>
  <si>
    <t>I-2120</t>
  </si>
  <si>
    <t>I-2121</t>
  </si>
  <si>
    <t>12/14/2016</t>
  </si>
  <si>
    <t>I-2122</t>
  </si>
  <si>
    <t>5/19/2015</t>
  </si>
  <si>
    <t>I-2123</t>
  </si>
  <si>
    <t>I-2124</t>
  </si>
  <si>
    <t>11/24/2018</t>
  </si>
  <si>
    <t>I-2125</t>
  </si>
  <si>
    <t>I-2126</t>
  </si>
  <si>
    <t>I-2127</t>
  </si>
  <si>
    <t>I-2128</t>
  </si>
  <si>
    <t>I-2129</t>
  </si>
  <si>
    <t>I-2130</t>
  </si>
  <si>
    <t>I-2131</t>
  </si>
  <si>
    <t>I-2132</t>
  </si>
  <si>
    <t>I-2133</t>
  </si>
  <si>
    <t>I-2134</t>
  </si>
  <si>
    <t>I-2135</t>
  </si>
  <si>
    <t>Kevin Long</t>
  </si>
  <si>
    <t>I-2136</t>
  </si>
  <si>
    <t>I-2137</t>
  </si>
  <si>
    <t>11/29/2018</t>
  </si>
  <si>
    <t>I-2138</t>
  </si>
  <si>
    <t>3/28/2016</t>
  </si>
  <si>
    <t>I-2139</t>
  </si>
  <si>
    <t>I-2140</t>
  </si>
  <si>
    <t>I-2141</t>
  </si>
  <si>
    <t>Barbara Scott</t>
  </si>
  <si>
    <t>I-2142</t>
  </si>
  <si>
    <t>4/14/2017</t>
  </si>
  <si>
    <t>I-2143</t>
  </si>
  <si>
    <t>I-2144</t>
  </si>
  <si>
    <t>I-2145</t>
  </si>
  <si>
    <t>I-2146</t>
  </si>
  <si>
    <t>8/19/2015</t>
  </si>
  <si>
    <t>I-2147</t>
  </si>
  <si>
    <t>I-2148</t>
  </si>
  <si>
    <t>I-2149</t>
  </si>
  <si>
    <t>I-2150</t>
  </si>
  <si>
    <t>I-2151</t>
  </si>
  <si>
    <t>I-2152</t>
  </si>
  <si>
    <t>I-2153</t>
  </si>
  <si>
    <t>I-2154</t>
  </si>
  <si>
    <t>I-2155</t>
  </si>
  <si>
    <t>I-2156</t>
  </si>
  <si>
    <t>I-2157</t>
  </si>
  <si>
    <t>I-2158</t>
  </si>
  <si>
    <t>I-2159</t>
  </si>
  <si>
    <t>Keith Drage</t>
  </si>
  <si>
    <t>I-2160</t>
  </si>
  <si>
    <t>3/23/2016</t>
  </si>
  <si>
    <t>I-2161</t>
  </si>
  <si>
    <t>10/21/2017</t>
  </si>
  <si>
    <t>I-2162</t>
  </si>
  <si>
    <t>I-2163</t>
  </si>
  <si>
    <t>I-2164</t>
  </si>
  <si>
    <t>I-2165</t>
  </si>
  <si>
    <t>I-2166</t>
  </si>
  <si>
    <t>5/26/2017</t>
  </si>
  <si>
    <t>I-2167</t>
  </si>
  <si>
    <t>9/30/2016</t>
  </si>
  <si>
    <t>I-2168</t>
  </si>
  <si>
    <t>Jonathan Pereira</t>
  </si>
  <si>
    <t>I-2169</t>
  </si>
  <si>
    <t>10/30/2017</t>
  </si>
  <si>
    <t>I-2170</t>
  </si>
  <si>
    <t>I-2171</t>
  </si>
  <si>
    <t>6/30/2018</t>
  </si>
  <si>
    <t>I-2172</t>
  </si>
  <si>
    <t>5/18/2016</t>
  </si>
  <si>
    <t>I-2173</t>
  </si>
  <si>
    <t>Roger Silvester</t>
  </si>
  <si>
    <t>I-2174</t>
  </si>
  <si>
    <t>I-2175</t>
  </si>
  <si>
    <t>I-2176</t>
  </si>
  <si>
    <t>1/15/2014</t>
  </si>
  <si>
    <t>I-2177</t>
  </si>
  <si>
    <t>12/29/2016</t>
  </si>
  <si>
    <t>I-2178</t>
  </si>
  <si>
    <t>10/21/2018</t>
  </si>
  <si>
    <t>I-2179</t>
  </si>
  <si>
    <t>I-2180</t>
  </si>
  <si>
    <t>I-2181</t>
  </si>
  <si>
    <t>I-2182</t>
  </si>
  <si>
    <t>5/25/2017</t>
  </si>
  <si>
    <t>I-2183</t>
  </si>
  <si>
    <t>I-2184</t>
  </si>
  <si>
    <t>I-2185</t>
  </si>
  <si>
    <t>1/16/2015</t>
  </si>
  <si>
    <t>I-2186</t>
  </si>
  <si>
    <t>I-2187</t>
  </si>
  <si>
    <t>I-2188</t>
  </si>
  <si>
    <t>George Smith</t>
  </si>
  <si>
    <t>I-2189</t>
  </si>
  <si>
    <t>6/14/2016</t>
  </si>
  <si>
    <t>I-2190</t>
  </si>
  <si>
    <t>I-2191</t>
  </si>
  <si>
    <t>Mark Sayer</t>
  </si>
  <si>
    <t>I-2192</t>
  </si>
  <si>
    <t>1/30/2018</t>
  </si>
  <si>
    <t>I-2193</t>
  </si>
  <si>
    <t>I-2194</t>
  </si>
  <si>
    <t>I-2195</t>
  </si>
  <si>
    <t>I-2196</t>
  </si>
  <si>
    <t>I-2197</t>
  </si>
  <si>
    <t>David Adams</t>
  </si>
  <si>
    <t>I-2198</t>
  </si>
  <si>
    <t>5/26/2014</t>
  </si>
  <si>
    <t>I-2199</t>
  </si>
  <si>
    <t>I-2200</t>
  </si>
  <si>
    <t>I-2201</t>
  </si>
  <si>
    <t>I-2202</t>
  </si>
  <si>
    <t>I-2203</t>
  </si>
  <si>
    <t>I-2204</t>
  </si>
  <si>
    <t>I-2205</t>
  </si>
  <si>
    <t>I-2206</t>
  </si>
  <si>
    <t>8/21/2017</t>
  </si>
  <si>
    <t>I-2207</t>
  </si>
  <si>
    <t>6/14/2017</t>
  </si>
  <si>
    <t>I-2208</t>
  </si>
  <si>
    <t>I-2209</t>
  </si>
  <si>
    <t>I-2210</t>
  </si>
  <si>
    <t>5/28/2014</t>
  </si>
  <si>
    <t>I-2211</t>
  </si>
  <si>
    <t>5/23/2015</t>
  </si>
  <si>
    <t>I-2212</t>
  </si>
  <si>
    <t>I-2213</t>
  </si>
  <si>
    <t>I-2214</t>
  </si>
  <si>
    <t>I-2215</t>
  </si>
  <si>
    <t>I-2216</t>
  </si>
  <si>
    <t>I-2217</t>
  </si>
  <si>
    <t>I-2218</t>
  </si>
  <si>
    <t>Sandra Rew</t>
  </si>
  <si>
    <t>I-2219</t>
  </si>
  <si>
    <t>I-2220</t>
  </si>
  <si>
    <t>I-2221</t>
  </si>
  <si>
    <t>I-2222</t>
  </si>
  <si>
    <t>I-2223</t>
  </si>
  <si>
    <t>Lloyd Barr</t>
  </si>
  <si>
    <t>I-2224</t>
  </si>
  <si>
    <t>7/25/2017</t>
  </si>
  <si>
    <t>I-2225</t>
  </si>
  <si>
    <t>5/14/2018</t>
  </si>
  <si>
    <t>I-2226</t>
  </si>
  <si>
    <t>I-2227</t>
  </si>
  <si>
    <t>I-2228</t>
  </si>
  <si>
    <t>I-2229</t>
  </si>
  <si>
    <t>2/28/2016</t>
  </si>
  <si>
    <t>I-2230</t>
  </si>
  <si>
    <t>I-2231</t>
  </si>
  <si>
    <t>I-2232</t>
  </si>
  <si>
    <t>9/25/2018</t>
  </si>
  <si>
    <t>I-2233</t>
  </si>
  <si>
    <t>Frank Sewell</t>
  </si>
  <si>
    <t>I-2234</t>
  </si>
  <si>
    <t>I-2235</t>
  </si>
  <si>
    <t>9/29/2016</t>
  </si>
  <si>
    <t>I-2236</t>
  </si>
  <si>
    <t>I-2237</t>
  </si>
  <si>
    <t>I-2238</t>
  </si>
  <si>
    <t>9/18/2015</t>
  </si>
  <si>
    <t>I-2239</t>
  </si>
  <si>
    <t>12/13/2017</t>
  </si>
  <si>
    <t>I-2240</t>
  </si>
  <si>
    <t>I-2241</t>
  </si>
  <si>
    <t>I-2242</t>
  </si>
  <si>
    <t>I-2243</t>
  </si>
  <si>
    <t>I-2244</t>
  </si>
  <si>
    <t>I-2245</t>
  </si>
  <si>
    <t>I-2246</t>
  </si>
  <si>
    <t>I-2247</t>
  </si>
  <si>
    <t>I-2248</t>
  </si>
  <si>
    <t>I-2249</t>
  </si>
  <si>
    <t>11/28/2017</t>
  </si>
  <si>
    <t>I-2250</t>
  </si>
  <si>
    <t>I-2251</t>
  </si>
  <si>
    <t>I-2252</t>
  </si>
  <si>
    <t>I-2253</t>
  </si>
  <si>
    <t>Noel Burn</t>
  </si>
  <si>
    <t>I-2254</t>
  </si>
  <si>
    <t>9/30/2017</t>
  </si>
  <si>
    <t>I-2255</t>
  </si>
  <si>
    <t>I-2256</t>
  </si>
  <si>
    <t>I-2257</t>
  </si>
  <si>
    <t>Johanna Mirza</t>
  </si>
  <si>
    <t>I-2258</t>
  </si>
  <si>
    <t>3/19/2018</t>
  </si>
  <si>
    <t>I-2259</t>
  </si>
  <si>
    <t>5/30/2017</t>
  </si>
  <si>
    <t>I-2260</t>
  </si>
  <si>
    <t>I-2261</t>
  </si>
  <si>
    <t>I-2262</t>
  </si>
  <si>
    <t>I-2263</t>
  </si>
  <si>
    <t>11/13/2016</t>
  </si>
  <si>
    <t>Denise Harris</t>
  </si>
  <si>
    <t>I-2264</t>
  </si>
  <si>
    <t>I-2265</t>
  </si>
  <si>
    <t>Helen Cooke</t>
  </si>
  <si>
    <t>I-2266</t>
  </si>
  <si>
    <t>7/13/2016</t>
  </si>
  <si>
    <t>Anthony Green</t>
  </si>
  <si>
    <t>I-2267</t>
  </si>
  <si>
    <t>1/28/2014</t>
  </si>
  <si>
    <t>Lisa Pepper</t>
  </si>
  <si>
    <t>I-2268</t>
  </si>
  <si>
    <t>I-2269</t>
  </si>
  <si>
    <t>I-2270</t>
  </si>
  <si>
    <t>I-2271</t>
  </si>
  <si>
    <t>I-2272</t>
  </si>
  <si>
    <t>3/25/2014</t>
  </si>
  <si>
    <t>I-2273</t>
  </si>
  <si>
    <t>4/28/2017</t>
  </si>
  <si>
    <t>I-2274</t>
  </si>
  <si>
    <t>I-2275</t>
  </si>
  <si>
    <t>I-2276</t>
  </si>
  <si>
    <t>1/24/2018</t>
  </si>
  <si>
    <t>I-2277</t>
  </si>
  <si>
    <t>I-2278</t>
  </si>
  <si>
    <t>11/20/2018</t>
  </si>
  <si>
    <t>I-2279</t>
  </si>
  <si>
    <t>Gillian Crawley</t>
  </si>
  <si>
    <t>I-2280</t>
  </si>
  <si>
    <t>3/29/2018</t>
  </si>
  <si>
    <t>I-2281</t>
  </si>
  <si>
    <t>I-2282</t>
  </si>
  <si>
    <t>7/16/2017</t>
  </si>
  <si>
    <t>I-2283</t>
  </si>
  <si>
    <t>6/22/2014</t>
  </si>
  <si>
    <t>I-2284</t>
  </si>
  <si>
    <t>12/18/2018</t>
  </si>
  <si>
    <t>I-2285</t>
  </si>
  <si>
    <t>I-2286</t>
  </si>
  <si>
    <t>I-2287</t>
  </si>
  <si>
    <t>I-2288</t>
  </si>
  <si>
    <t>3/30/2016</t>
  </si>
  <si>
    <t>I-2289</t>
  </si>
  <si>
    <t>I-2290</t>
  </si>
  <si>
    <t>I-2291</t>
  </si>
  <si>
    <t>I-2292</t>
  </si>
  <si>
    <t>3/13/2015</t>
  </si>
  <si>
    <t>I-2293</t>
  </si>
  <si>
    <t>10/13/2018</t>
  </si>
  <si>
    <t>I-2294</t>
  </si>
  <si>
    <t>I-2295</t>
  </si>
  <si>
    <t>I-2296</t>
  </si>
  <si>
    <t>9/26/2014</t>
  </si>
  <si>
    <t>I-2297</t>
  </si>
  <si>
    <t>I-2298</t>
  </si>
  <si>
    <t>I-2299</t>
  </si>
  <si>
    <t>I-2300</t>
  </si>
  <si>
    <t>5/30/2018</t>
  </si>
  <si>
    <t>James Lam</t>
  </si>
  <si>
    <t>I-2301</t>
  </si>
  <si>
    <t>I-2302</t>
  </si>
  <si>
    <t>1/26/2018</t>
  </si>
  <si>
    <t>I-2303</t>
  </si>
  <si>
    <t>6/15/2018</t>
  </si>
  <si>
    <t>I-2304</t>
  </si>
  <si>
    <t>6/29/2017</t>
  </si>
  <si>
    <t>I-2305</t>
  </si>
  <si>
    <t>7/29/2016</t>
  </si>
  <si>
    <t>Sarah Houghton</t>
  </si>
  <si>
    <t>I-2306</t>
  </si>
  <si>
    <t>Alison Lazar</t>
  </si>
  <si>
    <t>I-2307</t>
  </si>
  <si>
    <t>I-2308</t>
  </si>
  <si>
    <t>I-2309</t>
  </si>
  <si>
    <t>I-2310</t>
  </si>
  <si>
    <t>6/15/2015</t>
  </si>
  <si>
    <t>I-2311</t>
  </si>
  <si>
    <t>10/29/2018</t>
  </si>
  <si>
    <t>I-2312</t>
  </si>
  <si>
    <t>I-2313</t>
  </si>
  <si>
    <t>6/26/2017</t>
  </si>
  <si>
    <t>I-2314</t>
  </si>
  <si>
    <t>Russell Reynolds</t>
  </si>
  <si>
    <t>I-2315</t>
  </si>
  <si>
    <t>7/27/2014</t>
  </si>
  <si>
    <t>I-2316</t>
  </si>
  <si>
    <t>I-2317</t>
  </si>
  <si>
    <t>I-2318</t>
  </si>
  <si>
    <t>I-2319</t>
  </si>
  <si>
    <t>11/24/2017</t>
  </si>
  <si>
    <t>I-2320</t>
  </si>
  <si>
    <t>I-2321</t>
  </si>
  <si>
    <t>2/25/2016</t>
  </si>
  <si>
    <t>I-2322</t>
  </si>
  <si>
    <t>I-2323</t>
  </si>
  <si>
    <t>I-2324</t>
  </si>
  <si>
    <t>I-2325</t>
  </si>
  <si>
    <t>9/25/2014</t>
  </si>
  <si>
    <t>I-2326</t>
  </si>
  <si>
    <t>I-2327</t>
  </si>
  <si>
    <t>I-2328</t>
  </si>
  <si>
    <t>I-2329</t>
  </si>
  <si>
    <t>I-2330</t>
  </si>
  <si>
    <t>I-2331</t>
  </si>
  <si>
    <t>I-2332</t>
  </si>
  <si>
    <t>I-2333</t>
  </si>
  <si>
    <t>I-2334</t>
  </si>
  <si>
    <t>11/24/2016</t>
  </si>
  <si>
    <t>I-2335</t>
  </si>
  <si>
    <t>I-2336</t>
  </si>
  <si>
    <t>I-2337</t>
  </si>
  <si>
    <t>2/18/2016</t>
  </si>
  <si>
    <t>I-2338</t>
  </si>
  <si>
    <t>I-2339</t>
  </si>
  <si>
    <t>I-2340</t>
  </si>
  <si>
    <t>I-2341</t>
  </si>
  <si>
    <t>4/28/2016</t>
  </si>
  <si>
    <t>I-2342</t>
  </si>
  <si>
    <t>I-2343</t>
  </si>
  <si>
    <t>I-2344</t>
  </si>
  <si>
    <t>6/18/2016</t>
  </si>
  <si>
    <t>I-2345</t>
  </si>
  <si>
    <t>I-2346</t>
  </si>
  <si>
    <t>I-2347</t>
  </si>
  <si>
    <t>Charles Jago</t>
  </si>
  <si>
    <t>I-2348</t>
  </si>
  <si>
    <t>8/22/2017</t>
  </si>
  <si>
    <t>I-2349</t>
  </si>
  <si>
    <t>I-2350</t>
  </si>
  <si>
    <t>I-2351</t>
  </si>
  <si>
    <t>Denise Docherty</t>
  </si>
  <si>
    <t>I-2352</t>
  </si>
  <si>
    <t>6/15/2017</t>
  </si>
  <si>
    <t>I-2353</t>
  </si>
  <si>
    <t>6/27/2015</t>
  </si>
  <si>
    <t>I-2354</t>
  </si>
  <si>
    <t>8/28/2017</t>
  </si>
  <si>
    <t>I-2355</t>
  </si>
  <si>
    <t>3/17/2014</t>
  </si>
  <si>
    <t>I-2356</t>
  </si>
  <si>
    <t>I-2357</t>
  </si>
  <si>
    <t>I-2358</t>
  </si>
  <si>
    <t>I-2359</t>
  </si>
  <si>
    <t>I-2360</t>
  </si>
  <si>
    <t>I-2361</t>
  </si>
  <si>
    <t>I-2362</t>
  </si>
  <si>
    <t>I-2363</t>
  </si>
  <si>
    <t>I-2364</t>
  </si>
  <si>
    <t>I-2365</t>
  </si>
  <si>
    <t>I-2366</t>
  </si>
  <si>
    <t>9/13/2018</t>
  </si>
  <si>
    <t>I-2367</t>
  </si>
  <si>
    <t>3/25/2016</t>
  </si>
  <si>
    <t>I-2368</t>
  </si>
  <si>
    <t>I-2369</t>
  </si>
  <si>
    <t>I-2370</t>
  </si>
  <si>
    <t>I-2371</t>
  </si>
  <si>
    <t>I-2372</t>
  </si>
  <si>
    <t>4/19/2018</t>
  </si>
  <si>
    <t>Paul Smith</t>
  </si>
  <si>
    <t>I-2373</t>
  </si>
  <si>
    <t>6/29/2018</t>
  </si>
  <si>
    <t>I-2374</t>
  </si>
  <si>
    <t>3/17/2018</t>
  </si>
  <si>
    <t>I-2375</t>
  </si>
  <si>
    <t>I-2376</t>
  </si>
  <si>
    <t>I-2377</t>
  </si>
  <si>
    <t>5/26/2016</t>
  </si>
  <si>
    <t>I-2378</t>
  </si>
  <si>
    <t>I-2379</t>
  </si>
  <si>
    <t>I-2380</t>
  </si>
  <si>
    <t>I-2381</t>
  </si>
  <si>
    <t>I-2382</t>
  </si>
  <si>
    <t>I-2383</t>
  </si>
  <si>
    <t>2/17/2016</t>
  </si>
  <si>
    <t>I-2384</t>
  </si>
  <si>
    <t>I-2385</t>
  </si>
  <si>
    <t>I-2386</t>
  </si>
  <si>
    <t>2/20/2016</t>
  </si>
  <si>
    <t>I-2387</t>
  </si>
  <si>
    <t>1/21/2014</t>
  </si>
  <si>
    <t>I-2388</t>
  </si>
  <si>
    <t>I-2389</t>
  </si>
  <si>
    <t>I-2390</t>
  </si>
  <si>
    <t>John Whitehead</t>
  </si>
  <si>
    <t>I-2391</t>
  </si>
  <si>
    <t>I-2392</t>
  </si>
  <si>
    <t>I-2393</t>
  </si>
  <si>
    <t>I-2394</t>
  </si>
  <si>
    <t>7/27/2015</t>
  </si>
  <si>
    <t>I-2395</t>
  </si>
  <si>
    <t>4/26/2018</t>
  </si>
  <si>
    <t>I-2396</t>
  </si>
  <si>
    <t>I-2397</t>
  </si>
  <si>
    <t>I-2398</t>
  </si>
  <si>
    <t>2/14/2018</t>
  </si>
  <si>
    <t>I-2399</t>
  </si>
  <si>
    <t>4/15/2018</t>
  </si>
  <si>
    <t>I-2400</t>
  </si>
  <si>
    <t>I-2401</t>
  </si>
  <si>
    <t>I-2402</t>
  </si>
  <si>
    <t>I-2403</t>
  </si>
  <si>
    <t>I-2404</t>
  </si>
  <si>
    <t>4/25/2018</t>
  </si>
  <si>
    <t>I-2405</t>
  </si>
  <si>
    <t>I-2406</t>
  </si>
  <si>
    <t>I-2407</t>
  </si>
  <si>
    <t>I-2408</t>
  </si>
  <si>
    <t>I-2409</t>
  </si>
  <si>
    <t>I-2410</t>
  </si>
  <si>
    <t>I-2411</t>
  </si>
  <si>
    <t>I-2412</t>
  </si>
  <si>
    <t>I-2413</t>
  </si>
  <si>
    <t>I-2414</t>
  </si>
  <si>
    <t>I-2415</t>
  </si>
  <si>
    <t>3/24/2016</t>
  </si>
  <si>
    <t>I-2416</t>
  </si>
  <si>
    <t>5/13/2014</t>
  </si>
  <si>
    <t>I-2417</t>
  </si>
  <si>
    <t>7/30/2015</t>
  </si>
  <si>
    <t>I-2418</t>
  </si>
  <si>
    <t>I-2419</t>
  </si>
  <si>
    <t>I-2420</t>
  </si>
  <si>
    <t>2/23/2014</t>
  </si>
  <si>
    <t>I-2421</t>
  </si>
  <si>
    <t>I-2422</t>
  </si>
  <si>
    <t>I-2423</t>
  </si>
  <si>
    <t>I-2424</t>
  </si>
  <si>
    <t>I-2425</t>
  </si>
  <si>
    <t>I-2426</t>
  </si>
  <si>
    <t>I-2427</t>
  </si>
  <si>
    <t>I-2428</t>
  </si>
  <si>
    <t>I-2429</t>
  </si>
  <si>
    <t>I-2430</t>
  </si>
  <si>
    <t>9/14/2015</t>
  </si>
  <si>
    <t>I-2431</t>
  </si>
  <si>
    <t>I-2432</t>
  </si>
  <si>
    <t>I-2433</t>
  </si>
  <si>
    <t>1/21/2016</t>
  </si>
  <si>
    <t>I-2434</t>
  </si>
  <si>
    <t>I-2435</t>
  </si>
  <si>
    <t>12/26/2017</t>
  </si>
  <si>
    <t>I-2436</t>
  </si>
  <si>
    <t>I-2437</t>
  </si>
  <si>
    <t>4/13/2017</t>
  </si>
  <si>
    <t>I-2438</t>
  </si>
  <si>
    <t>I-2439</t>
  </si>
  <si>
    <t>I-2440</t>
  </si>
  <si>
    <t>I-2441</t>
  </si>
  <si>
    <t>I-2442</t>
  </si>
  <si>
    <t>I-2443</t>
  </si>
  <si>
    <t>I-2444</t>
  </si>
  <si>
    <t>Kevin Ahmed</t>
  </si>
  <si>
    <t>I-2445</t>
  </si>
  <si>
    <t>I-2446</t>
  </si>
  <si>
    <t>I-2447</t>
  </si>
  <si>
    <t>I-2448</t>
  </si>
  <si>
    <t>I-2449</t>
  </si>
  <si>
    <t>I-2450</t>
  </si>
  <si>
    <t>1/24/2014</t>
  </si>
  <si>
    <t>I-2451</t>
  </si>
  <si>
    <t>I-2452</t>
  </si>
  <si>
    <t>11/27/2016</t>
  </si>
  <si>
    <t>I-2453</t>
  </si>
  <si>
    <t>I-2454</t>
  </si>
  <si>
    <t>I-2455</t>
  </si>
  <si>
    <t>I-2456</t>
  </si>
  <si>
    <t>10/26/2016</t>
  </si>
  <si>
    <t>I-2457</t>
  </si>
  <si>
    <t>I-2458</t>
  </si>
  <si>
    <t>5/24/2017</t>
  </si>
  <si>
    <t>I-2459</t>
  </si>
  <si>
    <t>I-2460</t>
  </si>
  <si>
    <t>I-2461</t>
  </si>
  <si>
    <t>I-2462</t>
  </si>
  <si>
    <t>I-2463</t>
  </si>
  <si>
    <t>I-2464</t>
  </si>
  <si>
    <t>4/15/2016</t>
  </si>
  <si>
    <t>I-2465</t>
  </si>
  <si>
    <t>I-2466</t>
  </si>
  <si>
    <t>I-2467</t>
  </si>
  <si>
    <t>5/22/2018</t>
  </si>
  <si>
    <t>I-2468</t>
  </si>
  <si>
    <t>I-2469</t>
  </si>
  <si>
    <t>I-2470</t>
  </si>
  <si>
    <t>I-2471</t>
  </si>
  <si>
    <t>6/30/2015</t>
  </si>
  <si>
    <t>I-2472</t>
  </si>
  <si>
    <t>9/21/2015</t>
  </si>
  <si>
    <t>I-2473</t>
  </si>
  <si>
    <t>I-2474</t>
  </si>
  <si>
    <t>4/27/2015</t>
  </si>
  <si>
    <t>I-2475</t>
  </si>
  <si>
    <t>5/22/2016</t>
  </si>
  <si>
    <t>I-2476</t>
  </si>
  <si>
    <t>6/28/2017</t>
  </si>
  <si>
    <t>I-2477</t>
  </si>
  <si>
    <t>I-2478</t>
  </si>
  <si>
    <t>4/24/2017</t>
  </si>
  <si>
    <t>I-2479</t>
  </si>
  <si>
    <t>I-2480</t>
  </si>
  <si>
    <t>4/18/2014</t>
  </si>
  <si>
    <t>I-2481</t>
  </si>
  <si>
    <t>I-2482</t>
  </si>
  <si>
    <t>I-2483</t>
  </si>
  <si>
    <t>I-2484</t>
  </si>
  <si>
    <t>I-2485</t>
  </si>
  <si>
    <t>11/26/2015</t>
  </si>
  <si>
    <t>I-2486</t>
  </si>
  <si>
    <t>I-2487</t>
  </si>
  <si>
    <t>I-2488</t>
  </si>
  <si>
    <t>4/21/2017</t>
  </si>
  <si>
    <t>I-2489</t>
  </si>
  <si>
    <t>I-2490</t>
  </si>
  <si>
    <t>I-2491</t>
  </si>
  <si>
    <t>I-2492</t>
  </si>
  <si>
    <t>I-2493</t>
  </si>
  <si>
    <t>I-2494</t>
  </si>
  <si>
    <t>I-2495</t>
  </si>
  <si>
    <t>6/20/2018</t>
  </si>
  <si>
    <t>I-2496</t>
  </si>
  <si>
    <t>I-2497</t>
  </si>
  <si>
    <t>7/14/2018</t>
  </si>
  <si>
    <t>I-2498</t>
  </si>
  <si>
    <t>I-2499</t>
  </si>
  <si>
    <t>I-2500</t>
  </si>
  <si>
    <t>I-2501</t>
  </si>
  <si>
    <t>10/27/2014</t>
  </si>
  <si>
    <t>I-2502</t>
  </si>
  <si>
    <t>9/14/2017</t>
  </si>
  <si>
    <t>I-2503</t>
  </si>
  <si>
    <t>I-2504</t>
  </si>
  <si>
    <t>I-2505</t>
  </si>
  <si>
    <t>I-2506</t>
  </si>
  <si>
    <t>4/28/2014</t>
  </si>
  <si>
    <t>I-2507</t>
  </si>
  <si>
    <t>I-2508</t>
  </si>
  <si>
    <t>I-2509</t>
  </si>
  <si>
    <t>I-2510</t>
  </si>
  <si>
    <t>I-2511</t>
  </si>
  <si>
    <t>8/20/2014</t>
  </si>
  <si>
    <t>I-2512</t>
  </si>
  <si>
    <t>I-2513</t>
  </si>
  <si>
    <t>I-2514</t>
  </si>
  <si>
    <t>2/18/2014</t>
  </si>
  <si>
    <t>I-2515</t>
  </si>
  <si>
    <t>I-2516</t>
  </si>
  <si>
    <t>I-2517</t>
  </si>
  <si>
    <t>10/23/2014</t>
  </si>
  <si>
    <t>I-2518</t>
  </si>
  <si>
    <t>I-2519</t>
  </si>
  <si>
    <t>I-2520</t>
  </si>
  <si>
    <t>6/18/2015</t>
  </si>
  <si>
    <t>I-2521</t>
  </si>
  <si>
    <t>I-2522</t>
  </si>
  <si>
    <t>I-2523</t>
  </si>
  <si>
    <t>I-2524</t>
  </si>
  <si>
    <t>8/15/2017</t>
  </si>
  <si>
    <t>I-2525</t>
  </si>
  <si>
    <t>1/19/2016</t>
  </si>
  <si>
    <t>I-2526</t>
  </si>
  <si>
    <t>I-2527</t>
  </si>
  <si>
    <t>I-2528</t>
  </si>
  <si>
    <t>I-2529</t>
  </si>
  <si>
    <t>I-2530</t>
  </si>
  <si>
    <t>I-2531</t>
  </si>
  <si>
    <t>I-2532</t>
  </si>
  <si>
    <t>3/23/2017</t>
  </si>
  <si>
    <t>I-2533</t>
  </si>
  <si>
    <t>I-2534</t>
  </si>
  <si>
    <t>I-2535</t>
  </si>
  <si>
    <t>Richard Batty</t>
  </si>
  <si>
    <t>I-2536</t>
  </si>
  <si>
    <t>I-2537</t>
  </si>
  <si>
    <t>I-2538</t>
  </si>
  <si>
    <t>I-2539</t>
  </si>
  <si>
    <t>I-2540</t>
  </si>
  <si>
    <t>I-2541</t>
  </si>
  <si>
    <t>I-2542</t>
  </si>
  <si>
    <t>I-2543</t>
  </si>
  <si>
    <t>I-2544</t>
  </si>
  <si>
    <t>I-2545</t>
  </si>
  <si>
    <t>I-2546</t>
  </si>
  <si>
    <t>I-2547</t>
  </si>
  <si>
    <t>I-2548</t>
  </si>
  <si>
    <t>I-2549</t>
  </si>
  <si>
    <t>6/17/2016</t>
  </si>
  <si>
    <t>I-2550</t>
  </si>
  <si>
    <t>I-2551</t>
  </si>
  <si>
    <t>I-2552</t>
  </si>
  <si>
    <t>I-2553</t>
  </si>
  <si>
    <t>I-2554</t>
  </si>
  <si>
    <t>I-2555</t>
  </si>
  <si>
    <t>I-2556</t>
  </si>
  <si>
    <t>I-2557</t>
  </si>
  <si>
    <t>I-2558</t>
  </si>
  <si>
    <t>I-2559</t>
  </si>
  <si>
    <t>I-2560</t>
  </si>
  <si>
    <t>I-2561</t>
  </si>
  <si>
    <t>I-2562</t>
  </si>
  <si>
    <t>12/19/2015</t>
  </si>
  <si>
    <t>I-2563</t>
  </si>
  <si>
    <t>I-2564</t>
  </si>
  <si>
    <t>Pauline Pluck</t>
  </si>
  <si>
    <t>I-2565</t>
  </si>
  <si>
    <t>8/19/2017</t>
  </si>
  <si>
    <t>I-2566</t>
  </si>
  <si>
    <t>I-2567</t>
  </si>
  <si>
    <t>3/30/2015</t>
  </si>
  <si>
    <t>I-2568</t>
  </si>
  <si>
    <t>I-2569</t>
  </si>
  <si>
    <t>I-2570</t>
  </si>
  <si>
    <t>I-2571</t>
  </si>
  <si>
    <t>2/27/2015</t>
  </si>
  <si>
    <t>I-2572</t>
  </si>
  <si>
    <t>I-2573</t>
  </si>
  <si>
    <t>I-2574</t>
  </si>
  <si>
    <t>I-2575</t>
  </si>
  <si>
    <t>9/26/2017</t>
  </si>
  <si>
    <t>I-2576</t>
  </si>
  <si>
    <t>I-2577</t>
  </si>
  <si>
    <t>I-2578</t>
  </si>
  <si>
    <t>I-2579</t>
  </si>
  <si>
    <t>I-2580</t>
  </si>
  <si>
    <t>I-2581</t>
  </si>
  <si>
    <t>I-2582</t>
  </si>
  <si>
    <t>I-2583</t>
  </si>
  <si>
    <t>I-2584</t>
  </si>
  <si>
    <t>I-2585</t>
  </si>
  <si>
    <t>I-2586</t>
  </si>
  <si>
    <t>I-2587</t>
  </si>
  <si>
    <t>I-2588</t>
  </si>
  <si>
    <t>12/20/2015</t>
  </si>
  <si>
    <t>I-2589</t>
  </si>
  <si>
    <t>11/13/2014</t>
  </si>
  <si>
    <t>I-2590</t>
  </si>
  <si>
    <t>11/15/2014</t>
  </si>
  <si>
    <t>I-2591</t>
  </si>
  <si>
    <t>2/17/2018</t>
  </si>
  <si>
    <t>I-2592</t>
  </si>
  <si>
    <t>I-2593</t>
  </si>
  <si>
    <t>2/23/2018</t>
  </si>
  <si>
    <t>I-2594</t>
  </si>
  <si>
    <t>I-2595</t>
  </si>
  <si>
    <t>Vancouver</t>
  </si>
  <si>
    <t>10/18/2015</t>
  </si>
  <si>
    <t>Ram Thomas</t>
  </si>
  <si>
    <t>I-2596</t>
  </si>
  <si>
    <t>I-2597</t>
  </si>
  <si>
    <t>I-2598</t>
  </si>
  <si>
    <t>I-2599</t>
  </si>
  <si>
    <t>4/20/2014</t>
  </si>
  <si>
    <t>I-2600</t>
  </si>
  <si>
    <t>12/19/2014</t>
  </si>
  <si>
    <t>I-2601</t>
  </si>
  <si>
    <t>I-2602</t>
  </si>
  <si>
    <t>I-2603</t>
  </si>
  <si>
    <t>I-2604</t>
  </si>
  <si>
    <t>3/24/2017</t>
  </si>
  <si>
    <t>I-2605</t>
  </si>
  <si>
    <t>I-2606</t>
  </si>
  <si>
    <t>Helen Kenny</t>
  </si>
  <si>
    <t>I-2607</t>
  </si>
  <si>
    <t>6/15/2014</t>
  </si>
  <si>
    <t>I-2608</t>
  </si>
  <si>
    <t>I-2609</t>
  </si>
  <si>
    <t>I-2610</t>
  </si>
  <si>
    <t>Tom Clark</t>
  </si>
  <si>
    <t>I-2611</t>
  </si>
  <si>
    <t>I-2612</t>
  </si>
  <si>
    <t>Rochester</t>
  </si>
  <si>
    <t>Michael Lauder</t>
  </si>
  <si>
    <t>I-2613</t>
  </si>
  <si>
    <t>I-2614</t>
  </si>
  <si>
    <t>I-2615</t>
  </si>
  <si>
    <t>I-2616</t>
  </si>
  <si>
    <t>I-2617</t>
  </si>
  <si>
    <t>I-2618</t>
  </si>
  <si>
    <t>9/29/2014</t>
  </si>
  <si>
    <t>I-2619</t>
  </si>
  <si>
    <t>I-2620</t>
  </si>
  <si>
    <t>6/29/2014</t>
  </si>
  <si>
    <t>Christopher Grey</t>
  </si>
  <si>
    <t>I-2621</t>
  </si>
  <si>
    <t>I-2622</t>
  </si>
  <si>
    <t>I-2623</t>
  </si>
  <si>
    <t>5/25/2018</t>
  </si>
  <si>
    <t>I-2624</t>
  </si>
  <si>
    <t>I-2625</t>
  </si>
  <si>
    <t>I-2626</t>
  </si>
  <si>
    <t>I-2627</t>
  </si>
  <si>
    <t>I-2628</t>
  </si>
  <si>
    <t>I-2629</t>
  </si>
  <si>
    <t>I-2630</t>
  </si>
  <si>
    <t>I-2631</t>
  </si>
  <si>
    <t>I-2632</t>
  </si>
  <si>
    <t>11/17/2015</t>
  </si>
  <si>
    <t>I-2633</t>
  </si>
  <si>
    <t>I-2634</t>
  </si>
  <si>
    <t>3/22/2015</t>
  </si>
  <si>
    <t>I-2635</t>
  </si>
  <si>
    <t>4/29/2015</t>
  </si>
  <si>
    <t>I-2636</t>
  </si>
  <si>
    <t>I-2637</t>
  </si>
  <si>
    <t>I-2638</t>
  </si>
  <si>
    <t>I-2639</t>
  </si>
  <si>
    <t>Margaret McGregor</t>
  </si>
  <si>
    <t>I-2640</t>
  </si>
  <si>
    <t>I-2641</t>
  </si>
  <si>
    <t>10/15/2014</t>
  </si>
  <si>
    <t>I-2642</t>
  </si>
  <si>
    <t>7/23/2018</t>
  </si>
  <si>
    <t>I-2643</t>
  </si>
  <si>
    <t>I-2644</t>
  </si>
  <si>
    <t>I-2645</t>
  </si>
  <si>
    <t>I-2646</t>
  </si>
  <si>
    <t>1/23/2015</t>
  </si>
  <si>
    <t>I-2647</t>
  </si>
  <si>
    <t>11/22/2015</t>
  </si>
  <si>
    <t>I-2648</t>
  </si>
  <si>
    <t>3/22/2018</t>
  </si>
  <si>
    <t>I-2649</t>
  </si>
  <si>
    <t>Pauline Gagg</t>
  </si>
  <si>
    <t>I-2650</t>
  </si>
  <si>
    <t>I-2651</t>
  </si>
  <si>
    <t>James Bard</t>
  </si>
  <si>
    <t>I-2652</t>
  </si>
  <si>
    <t>9/18/2017</t>
  </si>
  <si>
    <t>I-2653</t>
  </si>
  <si>
    <t>11/15/2016</t>
  </si>
  <si>
    <t>Christopher Kille</t>
  </si>
  <si>
    <t>I-2654</t>
  </si>
  <si>
    <t>I-2655</t>
  </si>
  <si>
    <t>I-2656</t>
  </si>
  <si>
    <t>5/21/2018</t>
  </si>
  <si>
    <t>I-2657</t>
  </si>
  <si>
    <t>Houston</t>
  </si>
  <si>
    <t>David Salmon</t>
  </si>
  <si>
    <t>I-2658</t>
  </si>
  <si>
    <t>8/29/2014</t>
  </si>
  <si>
    <t>I-2659</t>
  </si>
  <si>
    <t>I-2660</t>
  </si>
  <si>
    <t>2/26/2016</t>
  </si>
  <si>
    <t>I-2661</t>
  </si>
  <si>
    <t>I-2662</t>
  </si>
  <si>
    <t>I-2663</t>
  </si>
  <si>
    <t>I-2664</t>
  </si>
  <si>
    <t>12/22/2016</t>
  </si>
  <si>
    <t>I-2665</t>
  </si>
  <si>
    <t>I-2666</t>
  </si>
  <si>
    <t>8/27/2016</t>
  </si>
  <si>
    <t>I-2667</t>
  </si>
  <si>
    <t>2/25/2015</t>
  </si>
  <si>
    <t>I-2668</t>
  </si>
  <si>
    <t>I-2669</t>
  </si>
  <si>
    <t>I-2670</t>
  </si>
  <si>
    <t>I-2671</t>
  </si>
  <si>
    <t>I-2672</t>
  </si>
  <si>
    <t>5/22/2015</t>
  </si>
  <si>
    <t>I-2673</t>
  </si>
  <si>
    <t>I-2674</t>
  </si>
  <si>
    <t>I-2675</t>
  </si>
  <si>
    <t>I-2676</t>
  </si>
  <si>
    <t>I-2677</t>
  </si>
  <si>
    <t>I-2678</t>
  </si>
  <si>
    <t>I-2679</t>
  </si>
  <si>
    <t>6/24/2016</t>
  </si>
  <si>
    <t>I-2680</t>
  </si>
  <si>
    <t>I-2681</t>
  </si>
  <si>
    <t>1/15/2017</t>
  </si>
  <si>
    <t>I-2682</t>
  </si>
  <si>
    <t>I-2683</t>
  </si>
  <si>
    <t>I-2684</t>
  </si>
  <si>
    <t>I-2685</t>
  </si>
  <si>
    <t>9/19/2016</t>
  </si>
  <si>
    <t>I-2686</t>
  </si>
  <si>
    <t>I-2687</t>
  </si>
  <si>
    <t>I-2688</t>
  </si>
  <si>
    <t>I-2689</t>
  </si>
  <si>
    <t>11/21/2016</t>
  </si>
  <si>
    <t>I-2690</t>
  </si>
  <si>
    <t>I-2691</t>
  </si>
  <si>
    <t>I-2692</t>
  </si>
  <si>
    <t>3/20/2017</t>
  </si>
  <si>
    <t>I-2693</t>
  </si>
  <si>
    <t>Helen Deignan</t>
  </si>
  <si>
    <t>I-2694</t>
  </si>
  <si>
    <t>I-2695</t>
  </si>
  <si>
    <t>I-2696</t>
  </si>
  <si>
    <t>I-2697</t>
  </si>
  <si>
    <t>I-2698</t>
  </si>
  <si>
    <t>Rosemary Hatcher</t>
  </si>
  <si>
    <t>I-2699</t>
  </si>
  <si>
    <t>I-2700</t>
  </si>
  <si>
    <t>6/13/2015</t>
  </si>
  <si>
    <t>I-2701</t>
  </si>
  <si>
    <t>11/30/2016</t>
  </si>
  <si>
    <t>I-2702</t>
  </si>
  <si>
    <t>I-2703</t>
  </si>
  <si>
    <t>I-2704</t>
  </si>
  <si>
    <t>I-2705</t>
  </si>
  <si>
    <t>1/29/2018</t>
  </si>
  <si>
    <t>Russell Wood</t>
  </si>
  <si>
    <t>I-2706</t>
  </si>
  <si>
    <t>I-2707</t>
  </si>
  <si>
    <t>I-2708</t>
  </si>
  <si>
    <t>I-2709</t>
  </si>
  <si>
    <t>7/31/2017</t>
  </si>
  <si>
    <t>I-2710</t>
  </si>
  <si>
    <t>I-2711</t>
  </si>
  <si>
    <t>8/16/2016</t>
  </si>
  <si>
    <t>I-2712</t>
  </si>
  <si>
    <t>9/18/2018</t>
  </si>
  <si>
    <t>I-2713</t>
  </si>
  <si>
    <t>10/18/2014</t>
  </si>
  <si>
    <t>I-2714</t>
  </si>
  <si>
    <t>I-2715</t>
  </si>
  <si>
    <t>I-2716</t>
  </si>
  <si>
    <t>I-2717</t>
  </si>
  <si>
    <t>I-2718</t>
  </si>
  <si>
    <t>I-2719</t>
  </si>
  <si>
    <t>Rachel Snape</t>
  </si>
  <si>
    <t>I-2720</t>
  </si>
  <si>
    <t>I-2721</t>
  </si>
  <si>
    <t>I-2722</t>
  </si>
  <si>
    <t>3/24/2014</t>
  </si>
  <si>
    <t>I-2723</t>
  </si>
  <si>
    <t>I-2724</t>
  </si>
  <si>
    <t>I-2725</t>
  </si>
  <si>
    <t>I-2726</t>
  </si>
  <si>
    <t>I-2727</t>
  </si>
  <si>
    <t>I-2728</t>
  </si>
  <si>
    <t>I-2729</t>
  </si>
  <si>
    <t>I-2730</t>
  </si>
  <si>
    <t>I-2731</t>
  </si>
  <si>
    <t>I-2732</t>
  </si>
  <si>
    <t>I-2733</t>
  </si>
  <si>
    <t>I-2734</t>
  </si>
  <si>
    <t>I-2735</t>
  </si>
  <si>
    <t>I-2736</t>
  </si>
  <si>
    <t>I-2737</t>
  </si>
  <si>
    <t>Iftikhar Styles</t>
  </si>
  <si>
    <t>I-2738</t>
  </si>
  <si>
    <t>9/27/2018</t>
  </si>
  <si>
    <t>I-2739</t>
  </si>
  <si>
    <t>I-2740</t>
  </si>
  <si>
    <t>I-2741</t>
  </si>
  <si>
    <t>Douglas Bond</t>
  </si>
  <si>
    <t>I-2742</t>
  </si>
  <si>
    <t>Richard Clayton</t>
  </si>
  <si>
    <t>I-2743</t>
  </si>
  <si>
    <t>I-2744</t>
  </si>
  <si>
    <t>I-2745</t>
  </si>
  <si>
    <t>I-2746</t>
  </si>
  <si>
    <t>5/19/2018</t>
  </si>
  <si>
    <t>I-2747</t>
  </si>
  <si>
    <t>I-2748</t>
  </si>
  <si>
    <t>I-2749</t>
  </si>
  <si>
    <t>I-2750</t>
  </si>
  <si>
    <t>I-2751</t>
  </si>
  <si>
    <t>5/17/2016</t>
  </si>
  <si>
    <t>I-2752</t>
  </si>
  <si>
    <t>I-2753</t>
  </si>
  <si>
    <t>I-2754</t>
  </si>
  <si>
    <t>I-2755</t>
  </si>
  <si>
    <t>5/23/2016</t>
  </si>
  <si>
    <t>I-2756</t>
  </si>
  <si>
    <t>Stephen Brown</t>
  </si>
  <si>
    <t>I-2757</t>
  </si>
  <si>
    <t>3/31/2015</t>
  </si>
  <si>
    <t>I-2758</t>
  </si>
  <si>
    <t>I-2759</t>
  </si>
  <si>
    <t>I-2760</t>
  </si>
  <si>
    <t>I-2761</t>
  </si>
  <si>
    <t>I-2762</t>
  </si>
  <si>
    <t>I-2763</t>
  </si>
  <si>
    <t>2/24/2018</t>
  </si>
  <si>
    <t>I-2764</t>
  </si>
  <si>
    <t>12/14/2014</t>
  </si>
  <si>
    <t>I-2765</t>
  </si>
  <si>
    <t>I-2766</t>
  </si>
  <si>
    <t>I-2767</t>
  </si>
  <si>
    <t>Brian Clarke</t>
  </si>
  <si>
    <t>I-2768</t>
  </si>
  <si>
    <t>I-2769</t>
  </si>
  <si>
    <t>I-2770</t>
  </si>
  <si>
    <t>I-2771</t>
  </si>
  <si>
    <t>I-2772</t>
  </si>
  <si>
    <t>I-2773</t>
  </si>
  <si>
    <t>I-2774</t>
  </si>
  <si>
    <t>Savita Simpson</t>
  </si>
  <si>
    <t>I-2775</t>
  </si>
  <si>
    <t>I-2776</t>
  </si>
  <si>
    <t>I-2777</t>
  </si>
  <si>
    <t>4/22/2017</t>
  </si>
  <si>
    <t>I-2778</t>
  </si>
  <si>
    <t>8/18/2014</t>
  </si>
  <si>
    <t>I-2779</t>
  </si>
  <si>
    <t>I-2780</t>
  </si>
  <si>
    <t>Paul Martin</t>
  </si>
  <si>
    <t>I-2781</t>
  </si>
  <si>
    <t>I-2782</t>
  </si>
  <si>
    <t>I-2783</t>
  </si>
  <si>
    <t>I-2784</t>
  </si>
  <si>
    <t>I-2785</t>
  </si>
  <si>
    <t>I-2786</t>
  </si>
  <si>
    <t>10/14/2018</t>
  </si>
  <si>
    <t>I-2787</t>
  </si>
  <si>
    <t>Paul Faulkner</t>
  </si>
  <si>
    <t>I-2788</t>
  </si>
  <si>
    <t>I-2789</t>
  </si>
  <si>
    <t>I-2790</t>
  </si>
  <si>
    <t>I-2791</t>
  </si>
  <si>
    <t>I-2792</t>
  </si>
  <si>
    <t>I-2793</t>
  </si>
  <si>
    <t>I-2794</t>
  </si>
  <si>
    <t>I-2795</t>
  </si>
  <si>
    <t>5/28/2018</t>
  </si>
  <si>
    <t>I-2796</t>
  </si>
  <si>
    <t>I-2797</t>
  </si>
  <si>
    <t>I-2798</t>
  </si>
  <si>
    <t>10/25/2014</t>
  </si>
  <si>
    <t>I-2799</t>
  </si>
  <si>
    <t>I-2800</t>
  </si>
  <si>
    <t>I-2801</t>
  </si>
  <si>
    <t>I-2802</t>
  </si>
  <si>
    <t>I-2803</t>
  </si>
  <si>
    <t>I-2804</t>
  </si>
  <si>
    <t>I-2805</t>
  </si>
  <si>
    <t>3/31/2014</t>
  </si>
  <si>
    <t>I-2806</t>
  </si>
  <si>
    <t>I-2807</t>
  </si>
  <si>
    <t>I-2808</t>
  </si>
  <si>
    <t>I-2809</t>
  </si>
  <si>
    <t>8/20/2015</t>
  </si>
  <si>
    <t>I-2810</t>
  </si>
  <si>
    <t>I-2811</t>
  </si>
  <si>
    <t>I-2812</t>
  </si>
  <si>
    <t>I-2813</t>
  </si>
  <si>
    <t>I-2814</t>
  </si>
  <si>
    <t>3/16/2015</t>
  </si>
  <si>
    <t>I-2815</t>
  </si>
  <si>
    <t>I-2816</t>
  </si>
  <si>
    <t>I-2817</t>
  </si>
  <si>
    <t>I-2818</t>
  </si>
  <si>
    <t>12/29/2015</t>
  </si>
  <si>
    <t>I-2819</t>
  </si>
  <si>
    <t>I-2820</t>
  </si>
  <si>
    <t>I-2821</t>
  </si>
  <si>
    <t>I-2822</t>
  </si>
  <si>
    <t>Jeremy Percival</t>
  </si>
  <si>
    <t>I-2823</t>
  </si>
  <si>
    <t>I-2824</t>
  </si>
  <si>
    <t>Timothy Fraser</t>
  </si>
  <si>
    <t>I-2825</t>
  </si>
  <si>
    <t>I-2826</t>
  </si>
  <si>
    <t>I-2827</t>
  </si>
  <si>
    <t>2/17/2014</t>
  </si>
  <si>
    <t>I-2828</t>
  </si>
  <si>
    <t>I-2829</t>
  </si>
  <si>
    <t>I-2830</t>
  </si>
  <si>
    <t>I-2831</t>
  </si>
  <si>
    <t>I-2832</t>
  </si>
  <si>
    <t>I-2833</t>
  </si>
  <si>
    <t>I-2834</t>
  </si>
  <si>
    <t>5/28/2016</t>
  </si>
  <si>
    <t>I-2835</t>
  </si>
  <si>
    <t>I-2836</t>
  </si>
  <si>
    <t>I-2837</t>
  </si>
  <si>
    <t>Sophie Petersen</t>
  </si>
  <si>
    <t>I-2838</t>
  </si>
  <si>
    <t>I-2839</t>
  </si>
  <si>
    <t>Peter Carley</t>
  </si>
  <si>
    <t>I-2840</t>
  </si>
  <si>
    <t>I-2841</t>
  </si>
  <si>
    <t>I-2842</t>
  </si>
  <si>
    <t>9/23/2018</t>
  </si>
  <si>
    <t>I-2843</t>
  </si>
  <si>
    <t>I-2844</t>
  </si>
  <si>
    <t>I-2845</t>
  </si>
  <si>
    <t>I-2846</t>
  </si>
  <si>
    <t>I-2847</t>
  </si>
  <si>
    <t>I-2848</t>
  </si>
  <si>
    <t>I-2849</t>
  </si>
  <si>
    <t>I-2850</t>
  </si>
  <si>
    <t>I-2851</t>
  </si>
  <si>
    <t>3/15/2015</t>
  </si>
  <si>
    <t>I-2852</t>
  </si>
  <si>
    <t>I-2853</t>
  </si>
  <si>
    <t>12/21/2016</t>
  </si>
  <si>
    <t>Elaine Ricketts</t>
  </si>
  <si>
    <t>I-2854</t>
  </si>
  <si>
    <t>I-2855</t>
  </si>
  <si>
    <t>6/25/2017</t>
  </si>
  <si>
    <t>I-2856</t>
  </si>
  <si>
    <t>I-2857</t>
  </si>
  <si>
    <t>I-2858</t>
  </si>
  <si>
    <t>I-2859</t>
  </si>
  <si>
    <t>I-2860</t>
  </si>
  <si>
    <t>5/20/2016</t>
  </si>
  <si>
    <t>I-2861</t>
  </si>
  <si>
    <t>I-2862</t>
  </si>
  <si>
    <t>I-2863</t>
  </si>
  <si>
    <t>I-2864</t>
  </si>
  <si>
    <t>Andi Liu</t>
  </si>
  <si>
    <t>I-2865</t>
  </si>
  <si>
    <t>I-2866</t>
  </si>
  <si>
    <t>7/19/2015</t>
  </si>
  <si>
    <t>I-2867</t>
  </si>
  <si>
    <t>12/28/2015</t>
  </si>
  <si>
    <t>I-2868</t>
  </si>
  <si>
    <t>I-2869</t>
  </si>
  <si>
    <t>I-2870</t>
  </si>
  <si>
    <t>I-2871</t>
  </si>
  <si>
    <t>I-2872</t>
  </si>
  <si>
    <t>I-2873</t>
  </si>
  <si>
    <t>I-2874</t>
  </si>
  <si>
    <t>I-2875</t>
  </si>
  <si>
    <t>I-2876</t>
  </si>
  <si>
    <t>I-2877</t>
  </si>
  <si>
    <t>I-2878</t>
  </si>
  <si>
    <t>I-2879</t>
  </si>
  <si>
    <t>I-2880</t>
  </si>
  <si>
    <t>Alison Hallows</t>
  </si>
  <si>
    <t>I-2881</t>
  </si>
  <si>
    <t>12/21/2015</t>
  </si>
  <si>
    <t>I-2882</t>
  </si>
  <si>
    <t>I-2883</t>
  </si>
  <si>
    <t>I-2884</t>
  </si>
  <si>
    <t>I-2885</t>
  </si>
  <si>
    <t>I-2886</t>
  </si>
  <si>
    <t>I-2887</t>
  </si>
  <si>
    <t>I-2888</t>
  </si>
  <si>
    <t>I-2889</t>
  </si>
  <si>
    <t>Barbara Langdon</t>
  </si>
  <si>
    <t>I-2890</t>
  </si>
  <si>
    <t>I-2891</t>
  </si>
  <si>
    <t>I-2892</t>
  </si>
  <si>
    <t>I-2893</t>
  </si>
  <si>
    <t>I-2894</t>
  </si>
  <si>
    <t>I-2895</t>
  </si>
  <si>
    <t>I-2896</t>
  </si>
  <si>
    <t>I-2897</t>
  </si>
  <si>
    <t>5/15/2015</t>
  </si>
  <si>
    <t>I-2898</t>
  </si>
  <si>
    <t>I-2899</t>
  </si>
  <si>
    <t>I-2900</t>
  </si>
  <si>
    <t>I-2901</t>
  </si>
  <si>
    <t>I-2902</t>
  </si>
  <si>
    <t>12/24/2015</t>
  </si>
  <si>
    <t>I-2903</t>
  </si>
  <si>
    <t>I-2904</t>
  </si>
  <si>
    <t>9/20/2015</t>
  </si>
  <si>
    <t>I-2905</t>
  </si>
  <si>
    <t>I-2906</t>
  </si>
  <si>
    <t>I-2907</t>
  </si>
  <si>
    <t>7/15/2018</t>
  </si>
  <si>
    <t>I-2908</t>
  </si>
  <si>
    <t>I-2909</t>
  </si>
  <si>
    <t>I-2910</t>
  </si>
  <si>
    <t>I-2911</t>
  </si>
  <si>
    <t>I-2912</t>
  </si>
  <si>
    <t>I-2913</t>
  </si>
  <si>
    <t>I-2914</t>
  </si>
  <si>
    <t>7/17/2014</t>
  </si>
  <si>
    <t>I-2915</t>
  </si>
  <si>
    <t>10/31/2015</t>
  </si>
  <si>
    <t>I-2916</t>
  </si>
  <si>
    <t>2/21/2017</t>
  </si>
  <si>
    <t>I-2917</t>
  </si>
  <si>
    <t>I-2918</t>
  </si>
  <si>
    <t>I-2919</t>
  </si>
  <si>
    <t>I-2920</t>
  </si>
  <si>
    <t>I-2921</t>
  </si>
  <si>
    <t>I-2922</t>
  </si>
  <si>
    <t>I-2923</t>
  </si>
  <si>
    <t>I-2924</t>
  </si>
  <si>
    <t>I-2925</t>
  </si>
  <si>
    <t>1/14/2016</t>
  </si>
  <si>
    <t>I-2926</t>
  </si>
  <si>
    <t>I-2927</t>
  </si>
  <si>
    <t>I-2928</t>
  </si>
  <si>
    <t>I-2929</t>
  </si>
  <si>
    <t>I-2930</t>
  </si>
  <si>
    <t>I-2931</t>
  </si>
  <si>
    <t>I-2932</t>
  </si>
  <si>
    <t>I-2933</t>
  </si>
  <si>
    <t>I-2934</t>
  </si>
  <si>
    <t>I-2935</t>
  </si>
  <si>
    <t>I-2936</t>
  </si>
  <si>
    <t>I-2937</t>
  </si>
  <si>
    <t>I-2938</t>
  </si>
  <si>
    <t>I-2939</t>
  </si>
  <si>
    <t>I-2940</t>
  </si>
  <si>
    <t>11/18/2014</t>
  </si>
  <si>
    <t>I-2941</t>
  </si>
  <si>
    <t>I-2942</t>
  </si>
  <si>
    <t>I-2943</t>
  </si>
  <si>
    <t>I-2944</t>
  </si>
  <si>
    <t>8/27/2015</t>
  </si>
  <si>
    <t>I-2945</t>
  </si>
  <si>
    <t>I-2946</t>
  </si>
  <si>
    <t>I-2947</t>
  </si>
  <si>
    <t>10/15/2016</t>
  </si>
  <si>
    <t>I-2948</t>
  </si>
  <si>
    <t>I-2949</t>
  </si>
  <si>
    <t>2/23/2015</t>
  </si>
  <si>
    <t>I-2950</t>
  </si>
  <si>
    <t>I-2951</t>
  </si>
  <si>
    <t>I-2952</t>
  </si>
  <si>
    <t>I-2953</t>
  </si>
  <si>
    <t>I-2954</t>
  </si>
  <si>
    <t>I-2955</t>
  </si>
  <si>
    <t>4/30/2014</t>
  </si>
  <si>
    <t>I-2956</t>
  </si>
  <si>
    <t>12/25/2018</t>
  </si>
  <si>
    <t>I-2957</t>
  </si>
  <si>
    <t>10/27/2015</t>
  </si>
  <si>
    <t>I-2958</t>
  </si>
  <si>
    <t>10/21/2015</t>
  </si>
  <si>
    <t>I-2959</t>
  </si>
  <si>
    <t>Sharon Hubble</t>
  </si>
  <si>
    <t>I-2960</t>
  </si>
  <si>
    <t>I-2961</t>
  </si>
  <si>
    <t>I-2962</t>
  </si>
  <si>
    <t>I-2963</t>
  </si>
  <si>
    <t>Rita Schaffer</t>
  </si>
  <si>
    <t>I-2964</t>
  </si>
  <si>
    <t>I-2965</t>
  </si>
  <si>
    <t>1/25/2018</t>
  </si>
  <si>
    <t>I-2966</t>
  </si>
  <si>
    <t>I-2967</t>
  </si>
  <si>
    <t>I-2968</t>
  </si>
  <si>
    <t>I-2969</t>
  </si>
  <si>
    <t>5/31/2015</t>
  </si>
  <si>
    <t>I-2970</t>
  </si>
  <si>
    <t>I-2971</t>
  </si>
  <si>
    <t>I-2972</t>
  </si>
  <si>
    <t>I-2973</t>
  </si>
  <si>
    <t>I-2974</t>
  </si>
  <si>
    <t>I-2975</t>
  </si>
  <si>
    <t>I-2976</t>
  </si>
  <si>
    <t>I-2977</t>
  </si>
  <si>
    <t>I-2978</t>
  </si>
  <si>
    <t>I-2979</t>
  </si>
  <si>
    <t>I-2980</t>
  </si>
  <si>
    <t>7/18/2016</t>
  </si>
  <si>
    <t>I-2981</t>
  </si>
  <si>
    <t>I-2982</t>
  </si>
  <si>
    <t>I-2983</t>
  </si>
  <si>
    <t>I-2984</t>
  </si>
  <si>
    <t>I-2985</t>
  </si>
  <si>
    <t>I-2986</t>
  </si>
  <si>
    <t>1/27/2017</t>
  </si>
  <si>
    <t>I-2987</t>
  </si>
  <si>
    <t>I-2988</t>
  </si>
  <si>
    <t>I-2989</t>
  </si>
  <si>
    <t>I-2990</t>
  </si>
  <si>
    <t>I-2991</t>
  </si>
  <si>
    <t>I-2992</t>
  </si>
  <si>
    <t>I-2993</t>
  </si>
  <si>
    <t>I-2994</t>
  </si>
  <si>
    <t>I-2995</t>
  </si>
  <si>
    <t>8/27/2018</t>
  </si>
  <si>
    <t>I-2996</t>
  </si>
  <si>
    <t>2/13/2014</t>
  </si>
  <si>
    <t>I-2997</t>
  </si>
  <si>
    <t>I-2998</t>
  </si>
  <si>
    <t>I-2999</t>
  </si>
  <si>
    <t>9/20/2017</t>
  </si>
  <si>
    <t>I-3000</t>
  </si>
  <si>
    <t>I-3001</t>
  </si>
  <si>
    <t>10/13/2014</t>
  </si>
  <si>
    <t>I-3002</t>
  </si>
  <si>
    <t>12/16/2015</t>
  </si>
  <si>
    <t>I-3003</t>
  </si>
  <si>
    <t>I-3004</t>
  </si>
  <si>
    <t>I-3005</t>
  </si>
  <si>
    <t>I-3006</t>
  </si>
  <si>
    <t>9/18/2016</t>
  </si>
  <si>
    <t>I-3007</t>
  </si>
  <si>
    <t>I-3008</t>
  </si>
  <si>
    <t>2/21/2014</t>
  </si>
  <si>
    <t>I-3009</t>
  </si>
  <si>
    <t>I-3010</t>
  </si>
  <si>
    <t>6/23/2015</t>
  </si>
  <si>
    <t>I-3011</t>
  </si>
  <si>
    <t>11/19/2014</t>
  </si>
  <si>
    <t>I-3012</t>
  </si>
  <si>
    <t>I-3013</t>
  </si>
  <si>
    <t>I-3014</t>
  </si>
  <si>
    <t>I-3015</t>
  </si>
  <si>
    <t>I-3016</t>
  </si>
  <si>
    <t>I-3017</t>
  </si>
  <si>
    <t>I-3018</t>
  </si>
  <si>
    <t>I-3019</t>
  </si>
  <si>
    <t>I-3020</t>
  </si>
  <si>
    <t>I-3021</t>
  </si>
  <si>
    <t>I-3022</t>
  </si>
  <si>
    <t>7/25/2015</t>
  </si>
  <si>
    <t>I-3023</t>
  </si>
  <si>
    <t>I-3024</t>
  </si>
  <si>
    <t>I-3025</t>
  </si>
  <si>
    <t>I-3026</t>
  </si>
  <si>
    <t>I-3027</t>
  </si>
  <si>
    <t>I-3028</t>
  </si>
  <si>
    <t>Richard Bard</t>
  </si>
  <si>
    <t>I-3029</t>
  </si>
  <si>
    <t>I-3030</t>
  </si>
  <si>
    <t>I-3031</t>
  </si>
  <si>
    <t>I-3032</t>
  </si>
  <si>
    <t>I-3033</t>
  </si>
  <si>
    <t>6/21/2016</t>
  </si>
  <si>
    <t>I-3034</t>
  </si>
  <si>
    <t>I-3035</t>
  </si>
  <si>
    <t>I-3036</t>
  </si>
  <si>
    <t>6/19/2018</t>
  </si>
  <si>
    <t>I-3037</t>
  </si>
  <si>
    <t>7/28/2018</t>
  </si>
  <si>
    <t>I-3038</t>
  </si>
  <si>
    <t>7/22/2014</t>
  </si>
  <si>
    <t>I-3039</t>
  </si>
  <si>
    <t>12/22/2015</t>
  </si>
  <si>
    <t>I-3040</t>
  </si>
  <si>
    <t>10/19/2018</t>
  </si>
  <si>
    <t>I-3041</t>
  </si>
  <si>
    <t>I-3042</t>
  </si>
  <si>
    <t>I-3043</t>
  </si>
  <si>
    <t>I-3044</t>
  </si>
  <si>
    <t>5/27/2015</t>
  </si>
  <si>
    <t>I-3045</t>
  </si>
  <si>
    <t>I-3046</t>
  </si>
  <si>
    <t>I-3047</t>
  </si>
  <si>
    <t>I-3048</t>
  </si>
  <si>
    <t>11/22/2014</t>
  </si>
  <si>
    <t>I-3049</t>
  </si>
  <si>
    <t>I-3050</t>
  </si>
  <si>
    <t>John Ali</t>
  </si>
  <si>
    <t>I-3051</t>
  </si>
  <si>
    <t>6/21/2014</t>
  </si>
  <si>
    <t>I-3052</t>
  </si>
  <si>
    <t>10/26/2017</t>
  </si>
  <si>
    <t>I-3053</t>
  </si>
  <si>
    <t>2/21/2016</t>
  </si>
  <si>
    <t>I-3054</t>
  </si>
  <si>
    <t>I-3055</t>
  </si>
  <si>
    <t>Maxine Stockdale</t>
  </si>
  <si>
    <t>I-3056</t>
  </si>
  <si>
    <t>I-3057</t>
  </si>
  <si>
    <t>I-3058</t>
  </si>
  <si>
    <t>9/19/2017</t>
  </si>
  <si>
    <t>I-3059</t>
  </si>
  <si>
    <t>I-3060</t>
  </si>
  <si>
    <t>I-3061</t>
  </si>
  <si>
    <t>I-3062</t>
  </si>
  <si>
    <t>I-3063</t>
  </si>
  <si>
    <t>I-3064</t>
  </si>
  <si>
    <t>I-3065</t>
  </si>
  <si>
    <t>I-3066</t>
  </si>
  <si>
    <t>I-3067</t>
  </si>
  <si>
    <t>I-3068</t>
  </si>
  <si>
    <t>I-3069</t>
  </si>
  <si>
    <t>I-3070</t>
  </si>
  <si>
    <t>I-3071</t>
  </si>
  <si>
    <t>9/21/2016</t>
  </si>
  <si>
    <t>I-3072</t>
  </si>
  <si>
    <t>I-3073</t>
  </si>
  <si>
    <t>I-3074</t>
  </si>
  <si>
    <t>I-3075</t>
  </si>
  <si>
    <t>I-3076</t>
  </si>
  <si>
    <t>I-3077</t>
  </si>
  <si>
    <t>I-3078</t>
  </si>
  <si>
    <t>2/19/2015</t>
  </si>
  <si>
    <t>I-3079</t>
  </si>
  <si>
    <t>I-3080</t>
  </si>
  <si>
    <t>10/14/2014</t>
  </si>
  <si>
    <t>I-3081</t>
  </si>
  <si>
    <t>I-3082</t>
  </si>
  <si>
    <t>I-3083</t>
  </si>
  <si>
    <t>I-3084</t>
  </si>
  <si>
    <t>I-3085</t>
  </si>
  <si>
    <t>I-3086</t>
  </si>
  <si>
    <t>6/23/2018</t>
  </si>
  <si>
    <t>I-3087</t>
  </si>
  <si>
    <t>I-3088</t>
  </si>
  <si>
    <t>6/18/2014</t>
  </si>
  <si>
    <t>I-3089</t>
  </si>
  <si>
    <t>I-3090</t>
  </si>
  <si>
    <t>I-3091</t>
  </si>
  <si>
    <t>I-3092</t>
  </si>
  <si>
    <t>I-3093</t>
  </si>
  <si>
    <t>I-3094</t>
  </si>
  <si>
    <t>I-3095</t>
  </si>
  <si>
    <t>I-3096</t>
  </si>
  <si>
    <t>9/25/2015</t>
  </si>
  <si>
    <t>I-3097</t>
  </si>
  <si>
    <t>I-3098</t>
  </si>
  <si>
    <t>I-3099</t>
  </si>
  <si>
    <t>2/16/2016</t>
  </si>
  <si>
    <t>I-3100</t>
  </si>
  <si>
    <t>I-3101</t>
  </si>
  <si>
    <t>I-3102</t>
  </si>
  <si>
    <t>8/14/2016</t>
  </si>
  <si>
    <t>I-3103</t>
  </si>
  <si>
    <t>8/15/2015</t>
  </si>
  <si>
    <t>I-3104</t>
  </si>
  <si>
    <t>I-3105</t>
  </si>
  <si>
    <t>7/18/2015</t>
  </si>
  <si>
    <t>I-3106</t>
  </si>
  <si>
    <t>I-3107</t>
  </si>
  <si>
    <t>I-3108</t>
  </si>
  <si>
    <t>I-3109</t>
  </si>
  <si>
    <t>3/26/2016</t>
  </si>
  <si>
    <t>I-3110</t>
  </si>
  <si>
    <t>I-3111</t>
  </si>
  <si>
    <t>I-3112</t>
  </si>
  <si>
    <t>1/22/2014</t>
  </si>
  <si>
    <t>I-3113</t>
  </si>
  <si>
    <t>8/24/2016</t>
  </si>
  <si>
    <t>I-3114</t>
  </si>
  <si>
    <t>5/29/2014</t>
  </si>
  <si>
    <t>I-3115</t>
  </si>
  <si>
    <t>I-3116</t>
  </si>
  <si>
    <t>I-3117</t>
  </si>
  <si>
    <t>I-3118</t>
  </si>
  <si>
    <t>I-3119</t>
  </si>
  <si>
    <t>I-3120</t>
  </si>
  <si>
    <t>I-3121</t>
  </si>
  <si>
    <t>10/31/2016</t>
  </si>
  <si>
    <t>I-3122</t>
  </si>
  <si>
    <t>4/23/2014</t>
  </si>
  <si>
    <t>I-3123</t>
  </si>
  <si>
    <t>I-3124</t>
  </si>
  <si>
    <t>I-3125</t>
  </si>
  <si>
    <t>I-3126</t>
  </si>
  <si>
    <t>I-3127</t>
  </si>
  <si>
    <t>I-3128</t>
  </si>
  <si>
    <t>I-3129</t>
  </si>
  <si>
    <t>I-3130</t>
  </si>
  <si>
    <t>3/14/2014</t>
  </si>
  <si>
    <t>I-3131</t>
  </si>
  <si>
    <t>I-3132</t>
  </si>
  <si>
    <t>I-3133</t>
  </si>
  <si>
    <t>I-3134</t>
  </si>
  <si>
    <t>1/14/2015</t>
  </si>
  <si>
    <t>I-3135</t>
  </si>
  <si>
    <t>I-3136</t>
  </si>
  <si>
    <t>I-3137</t>
  </si>
  <si>
    <t>I-3138</t>
  </si>
  <si>
    <t>I-3139</t>
  </si>
  <si>
    <t>I-3140</t>
  </si>
  <si>
    <t>I-3141</t>
  </si>
  <si>
    <t>I-3142</t>
  </si>
  <si>
    <t>I-3143</t>
  </si>
  <si>
    <t>I-3144</t>
  </si>
  <si>
    <t>I-3145</t>
  </si>
  <si>
    <t>I-3146</t>
  </si>
  <si>
    <t>I-3147</t>
  </si>
  <si>
    <t>I-3148</t>
  </si>
  <si>
    <t>I-3149</t>
  </si>
  <si>
    <t>I-3150</t>
  </si>
  <si>
    <t>I-3151</t>
  </si>
  <si>
    <t>I-3152</t>
  </si>
  <si>
    <t>I-3153</t>
  </si>
  <si>
    <t>I-3154</t>
  </si>
  <si>
    <t>I-3155</t>
  </si>
  <si>
    <t>1/20/2015</t>
  </si>
  <si>
    <t>I-3156</t>
  </si>
  <si>
    <t>I-3157</t>
  </si>
  <si>
    <t>11/23/2017</t>
  </si>
  <si>
    <t>I-3158</t>
  </si>
  <si>
    <t>I-3159</t>
  </si>
  <si>
    <t>I-3160</t>
  </si>
  <si>
    <t>I-3161</t>
  </si>
  <si>
    <t>I-3162</t>
  </si>
  <si>
    <t>I-3163</t>
  </si>
  <si>
    <t>Glenys Muhammad</t>
  </si>
  <si>
    <t>I-3164</t>
  </si>
  <si>
    <t>I-3165</t>
  </si>
  <si>
    <t>I-3166</t>
  </si>
  <si>
    <t>I-3167</t>
  </si>
  <si>
    <t>I-3168</t>
  </si>
  <si>
    <t>6/16/2016</t>
  </si>
  <si>
    <t>I-3169</t>
  </si>
  <si>
    <t>I-3170</t>
  </si>
  <si>
    <t>2/14/2015</t>
  </si>
  <si>
    <t>I-3171</t>
  </si>
  <si>
    <t>I-3172</t>
  </si>
  <si>
    <t>I-3173</t>
  </si>
  <si>
    <t>3/19/2015</t>
  </si>
  <si>
    <t>I-3174</t>
  </si>
  <si>
    <t>Christine Rowe</t>
  </si>
  <si>
    <t>I-3175</t>
  </si>
  <si>
    <t>I-3176</t>
  </si>
  <si>
    <t>I-3177</t>
  </si>
  <si>
    <t>I-3178</t>
  </si>
  <si>
    <t>7/24/2014</t>
  </si>
  <si>
    <t>I-3179</t>
  </si>
  <si>
    <t>I-3180</t>
  </si>
  <si>
    <t>I-3181</t>
  </si>
  <si>
    <t>I-3182</t>
  </si>
  <si>
    <t>I-3183</t>
  </si>
  <si>
    <t>I-3184</t>
  </si>
  <si>
    <t>I-3185</t>
  </si>
  <si>
    <t>I-3186</t>
  </si>
  <si>
    <t>I-3187</t>
  </si>
  <si>
    <t>I-3188</t>
  </si>
  <si>
    <t>I-3189</t>
  </si>
  <si>
    <t>I-3190</t>
  </si>
  <si>
    <t>I-3191</t>
  </si>
  <si>
    <t>I-3192</t>
  </si>
  <si>
    <t>I-3193</t>
  </si>
  <si>
    <t>I-3194</t>
  </si>
  <si>
    <t>I-3195</t>
  </si>
  <si>
    <t>2/23/2016</t>
  </si>
  <si>
    <t>I-3196</t>
  </si>
  <si>
    <t>I-3197</t>
  </si>
  <si>
    <t>I-3198</t>
  </si>
  <si>
    <t>I-3199</t>
  </si>
  <si>
    <t>I-3200</t>
  </si>
  <si>
    <t>I-3201</t>
  </si>
  <si>
    <t>I-3202</t>
  </si>
  <si>
    <t>I-3203</t>
  </si>
  <si>
    <t>I-3204</t>
  </si>
  <si>
    <t>10/29/2015</t>
  </si>
  <si>
    <t>I-3205</t>
  </si>
  <si>
    <t>I-3206</t>
  </si>
  <si>
    <t>I-3207</t>
  </si>
  <si>
    <t>I-3208</t>
  </si>
  <si>
    <t>10/13/2017</t>
  </si>
  <si>
    <t>I-3209</t>
  </si>
  <si>
    <t>8/16/2017</t>
  </si>
  <si>
    <t>I-3210</t>
  </si>
  <si>
    <t>I-3211</t>
  </si>
  <si>
    <t>I-3212</t>
  </si>
  <si>
    <t>I-3213</t>
  </si>
  <si>
    <t>I-3214</t>
  </si>
  <si>
    <t>I-3215</t>
  </si>
  <si>
    <t>I-3216</t>
  </si>
  <si>
    <t>I-3217</t>
  </si>
  <si>
    <t>I-3218</t>
  </si>
  <si>
    <t>I-3219</t>
  </si>
  <si>
    <t>10/19/2017</t>
  </si>
  <si>
    <t>I-3220</t>
  </si>
  <si>
    <t>I-3221</t>
  </si>
  <si>
    <t>I-3222</t>
  </si>
  <si>
    <t>8/28/2014</t>
  </si>
  <si>
    <t>I-3223</t>
  </si>
  <si>
    <t>I-3224</t>
  </si>
  <si>
    <t>I-3225</t>
  </si>
  <si>
    <t>3/17/2015</t>
  </si>
  <si>
    <t>I-3226</t>
  </si>
  <si>
    <t>I-3227</t>
  </si>
  <si>
    <t>Julie Pope</t>
  </si>
  <si>
    <t>I-3228</t>
  </si>
  <si>
    <t>I-3229</t>
  </si>
  <si>
    <t>I-3230</t>
  </si>
  <si>
    <t>I-3231</t>
  </si>
  <si>
    <t>10/20/2018</t>
  </si>
  <si>
    <t>I-3232</t>
  </si>
  <si>
    <t>I-3233</t>
  </si>
  <si>
    <t>I-3234</t>
  </si>
  <si>
    <t>I-3235</t>
  </si>
  <si>
    <t>1/16/2014</t>
  </si>
  <si>
    <t>I-3236</t>
  </si>
  <si>
    <t>I-3237</t>
  </si>
  <si>
    <t>I-3238</t>
  </si>
  <si>
    <t>3/29/2014</t>
  </si>
  <si>
    <t>Mark Evans</t>
  </si>
  <si>
    <t>I-3239</t>
  </si>
  <si>
    <t>I-3240</t>
  </si>
  <si>
    <t>I-3241</t>
  </si>
  <si>
    <t>I-3242</t>
  </si>
  <si>
    <t>I-3243</t>
  </si>
  <si>
    <t>6/28/2014</t>
  </si>
  <si>
    <t>I-3244</t>
  </si>
  <si>
    <t>I-3245</t>
  </si>
  <si>
    <t>I-3246</t>
  </si>
  <si>
    <t>I-3247</t>
  </si>
  <si>
    <t>I-3248</t>
  </si>
  <si>
    <t>I-3249</t>
  </si>
  <si>
    <t>I-3250</t>
  </si>
  <si>
    <t>I-3251</t>
  </si>
  <si>
    <t>I-3252</t>
  </si>
  <si>
    <t>8/30/2016</t>
  </si>
  <si>
    <t>I-3253</t>
  </si>
  <si>
    <t>11/19/2016</t>
  </si>
  <si>
    <t>I-3254</t>
  </si>
  <si>
    <t>I-3255</t>
  </si>
  <si>
    <t>I-3256</t>
  </si>
  <si>
    <t>I-3257</t>
  </si>
  <si>
    <t>I-3258</t>
  </si>
  <si>
    <t>I-3259</t>
  </si>
  <si>
    <t>I-3260</t>
  </si>
  <si>
    <t>I-3261</t>
  </si>
  <si>
    <t>3/18/2015</t>
  </si>
  <si>
    <t>I-3262</t>
  </si>
  <si>
    <t>I-3263</t>
  </si>
  <si>
    <t>I-3264</t>
  </si>
  <si>
    <t>12/23/2016</t>
  </si>
  <si>
    <t>I-3265</t>
  </si>
  <si>
    <t>I-3266</t>
  </si>
  <si>
    <t>Steven Roberts</t>
  </si>
  <si>
    <t>I-3267</t>
  </si>
  <si>
    <t>I-3268</t>
  </si>
  <si>
    <t>I-3269</t>
  </si>
  <si>
    <t>I-3270</t>
  </si>
  <si>
    <t>I-3271</t>
  </si>
  <si>
    <t>I-3272</t>
  </si>
  <si>
    <t>I-3273</t>
  </si>
  <si>
    <t>I-3274</t>
  </si>
  <si>
    <t>I-3275</t>
  </si>
  <si>
    <t>I-3276</t>
  </si>
  <si>
    <t>I-3277</t>
  </si>
  <si>
    <t>4/18/2016</t>
  </si>
  <si>
    <t>I-3278</t>
  </si>
  <si>
    <t>I-3279</t>
  </si>
  <si>
    <t>7/25/2016</t>
  </si>
  <si>
    <t>I-3280</t>
  </si>
  <si>
    <t>I-3281</t>
  </si>
  <si>
    <t>I-3282</t>
  </si>
  <si>
    <t>3/21/2016</t>
  </si>
  <si>
    <t>I-3283</t>
  </si>
  <si>
    <t>I-3284</t>
  </si>
  <si>
    <t>I-3285</t>
  </si>
  <si>
    <t>I-3286</t>
  </si>
  <si>
    <t>I-3287</t>
  </si>
  <si>
    <t>I-3288</t>
  </si>
  <si>
    <t>I-3289</t>
  </si>
  <si>
    <t>I-3290</t>
  </si>
  <si>
    <t>I-3291</t>
  </si>
  <si>
    <t>I-3292</t>
  </si>
  <si>
    <t>I-3293</t>
  </si>
  <si>
    <t>7/30/2018</t>
  </si>
  <si>
    <t>I-3294</t>
  </si>
  <si>
    <t>I-3295</t>
  </si>
  <si>
    <t>I-3296</t>
  </si>
  <si>
    <t>I-3297</t>
  </si>
  <si>
    <t>I-3298</t>
  </si>
  <si>
    <t>I-3299</t>
  </si>
  <si>
    <t>I-3300</t>
  </si>
  <si>
    <t>I-3301</t>
  </si>
  <si>
    <t>I-3302</t>
  </si>
  <si>
    <t>I-3303</t>
  </si>
  <si>
    <t>I-3304</t>
  </si>
  <si>
    <t>I-3305</t>
  </si>
  <si>
    <t>I-3306</t>
  </si>
  <si>
    <t>9/24/2014</t>
  </si>
  <si>
    <t>Frank Cowden</t>
  </si>
  <si>
    <t>I-3307</t>
  </si>
  <si>
    <t>12/13/2014</t>
  </si>
  <si>
    <t>I-3308</t>
  </si>
  <si>
    <t>John Gibb</t>
  </si>
  <si>
    <t>I-3309</t>
  </si>
  <si>
    <t>I-3310</t>
  </si>
  <si>
    <t>I-3311</t>
  </si>
  <si>
    <t>I-3312</t>
  </si>
  <si>
    <t>I-3313</t>
  </si>
  <si>
    <t>I-3314</t>
  </si>
  <si>
    <t>3/22/2014</t>
  </si>
  <si>
    <t>I-3315</t>
  </si>
  <si>
    <t>I-3316</t>
  </si>
  <si>
    <t>Alexandra Mukherjee</t>
  </si>
  <si>
    <t>I-3317</t>
  </si>
  <si>
    <t>I-3318</t>
  </si>
  <si>
    <t>I-3319</t>
  </si>
  <si>
    <t>4/25/2015</t>
  </si>
  <si>
    <t>I-3320</t>
  </si>
  <si>
    <t>I-3321</t>
  </si>
  <si>
    <t>I-3322</t>
  </si>
  <si>
    <t>I-3323</t>
  </si>
  <si>
    <t>I-3324</t>
  </si>
  <si>
    <t>I-3325</t>
  </si>
  <si>
    <t>I-3326</t>
  </si>
  <si>
    <t>I-3327</t>
  </si>
  <si>
    <t>I-3328</t>
  </si>
  <si>
    <t>5/22/2014</t>
  </si>
  <si>
    <t>I-3329</t>
  </si>
  <si>
    <t>I-3330</t>
  </si>
  <si>
    <t>I-3331</t>
  </si>
  <si>
    <t>I-3332</t>
  </si>
  <si>
    <t>I-3333</t>
  </si>
  <si>
    <t>I-3334</t>
  </si>
  <si>
    <t>I-3335</t>
  </si>
  <si>
    <t>I-3336</t>
  </si>
  <si>
    <t>I-3337</t>
  </si>
  <si>
    <t>I-3338</t>
  </si>
  <si>
    <t>I-3339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</si>
  <si>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</si>
  <si>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</si>
  <si>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</si>
  <si>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</si>
  <si>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</si>
  <si>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</si>
  <si>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</si>
  <si>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</si>
  <si>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</si>
  <si>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</si>
  <si>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</si>
  <si>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</si>
  <si>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</si>
  <si>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</si>
  <si>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</si>
  <si>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</si>
  <si>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</si>
  <si>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</si>
  <si>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</si>
  <si>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</si>
  <si>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</si>
  <si>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</si>
  <si>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</si>
  <si>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</si>
  <si>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</si>
  <si>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</si>
  <si>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</si>
  <si>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</si>
  <si>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</si>
  <si>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</si>
  <si>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for age 0-19</t>
  </si>
  <si>
    <t>Option 2:</t>
  </si>
  <si>
    <t>for age 50-75+</t>
  </si>
  <si>
    <t>Grand Total of both</t>
  </si>
  <si>
    <t>City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</si>
  <si>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</si>
  <si>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</si>
  <si>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</si>
  <si>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</si>
  <si>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</si>
  <si>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</si>
  <si>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</si>
  <si>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</si>
  <si>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</si>
  <si>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</si>
  <si>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</si>
  <si>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</si>
  <si>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</si>
  <si>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</si>
  <si>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</si>
  <si>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</si>
  <si>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</si>
  <si>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</si>
  <si>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</si>
  <si>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</si>
  <si>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</si>
  <si>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</si>
  <si>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</si>
  <si>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</si>
  <si>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</si>
  <si>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</si>
  <si>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</si>
  <si>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</si>
  <si>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</si>
  <si>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</si>
  <si>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</si>
  <si>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</si>
  <si>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</si>
  <si>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</si>
  <si>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</si>
  <si>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</si>
  <si>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</si>
  <si>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</si>
  <si>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</si>
  <si>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</si>
  <si>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</si>
  <si>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</si>
  <si>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</si>
  <si>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</si>
  <si>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</si>
  <si>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</si>
  <si>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</si>
  <si>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</si>
  <si>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</si>
  <si>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</si>
  <si>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</si>
  <si>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</si>
  <si>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</si>
  <si>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</si>
  <si>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</si>
  <si>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</si>
  <si>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</si>
  <si>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</si>
  <si>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</si>
  <si>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</si>
  <si>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</si>
  <si>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</si>
  <si>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</si>
  <si>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</si>
  <si>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</si>
  <si>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</si>
  <si>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</si>
  <si>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</si>
  <si>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</si>
  <si>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</si>
  <si>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</si>
  <si>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</si>
  <si>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</si>
  <si>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</si>
  <si>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</si>
  <si>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</si>
  <si>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</si>
  <si>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</si>
  <si>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</si>
  <si>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</si>
  <si>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</si>
  <si>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</si>
  <si>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</si>
  <si>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</si>
  <si>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</si>
  <si>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</si>
  <si>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</si>
  <si>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</si>
  <si>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</si>
  <si>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</si>
  <si>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</si>
  <si>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</si>
  <si>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</si>
  <si>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</si>
  <si>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</si>
  <si>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</si>
  <si>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</si>
  <si>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</si>
  <si>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</si>
  <si>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</si>
  <si>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</si>
  <si>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</si>
  <si>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</si>
  <si>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</si>
  <si>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</si>
  <si>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</si>
  <si>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</si>
  <si>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</si>
  <si>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</si>
  <si>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</si>
  <si>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</si>
  <si>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</si>
  <si>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</si>
  <si>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</si>
  <si>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</si>
  <si>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</si>
  <si>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</si>
  <si>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</si>
  <si>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</si>
  <si>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</si>
  <si>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</si>
  <si>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</si>
  <si>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</si>
  <si>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</si>
  <si>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</si>
  <si>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</si>
  <si>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</si>
  <si>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</si>
  <si>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</si>
  <si>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</si>
  <si>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</si>
  <si>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</si>
  <si>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</si>
  <si>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</si>
  <si>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</si>
  <si>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</si>
  <si>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</si>
  <si>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</si>
  <si>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</si>
  <si>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</si>
  <si>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</si>
  <si>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</si>
  <si>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</si>
  <si>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</si>
  <si>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</si>
  <si>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</si>
  <si>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</si>
  <si>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</si>
  <si>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</si>
  <si>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</si>
  <si>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</si>
  <si>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</si>
  <si>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</si>
  <si>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</si>
  <si>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</si>
  <si>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</si>
  <si>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</si>
  <si>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</si>
  <si>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</si>
  <si>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</si>
  <si>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</si>
  <si>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</si>
  <si>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</si>
  <si>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</si>
  <si>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</si>
  <si>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</si>
  <si>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</si>
  <si>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</si>
  <si>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</si>
  <si>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</si>
  <si>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</si>
  <si>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</si>
  <si>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Medals Won</t>
  </si>
  <si>
    <t>Michael Phelps</t>
  </si>
  <si>
    <t>Swimming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</si>
  <si>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</si>
  <si>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</si>
  <si>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</si>
  <si>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</si>
  <si>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</si>
  <si>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</si>
  <si>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</si>
  <si>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Nadia Comaneci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</si>
  <si>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</si>
  <si>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</si>
  <si>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</si>
  <si>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</si>
  <si>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</si>
  <si>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</si>
  <si>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</si>
  <si>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</si>
  <si>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</si>
  <si>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</si>
  <si>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</si>
  <si>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</si>
  <si>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</si>
  <si>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JAMICA</t>
  </si>
  <si>
    <t>SUM OF BOTH</t>
  </si>
  <si>
    <t>Order ID,Name,Product,Quantity,Price,Total</t>
  </si>
  <si>
    <t>1=</t>
  </si>
  <si>
    <t xml:space="preserve">Convert The CSV file into Table </t>
  </si>
  <si>
    <t>11280,Bill Smith,Volkswagen Golf,15,30000,450000</t>
  </si>
  <si>
    <t>2=</t>
  </si>
  <si>
    <t>With Text To Columns</t>
  </si>
  <si>
    <t>11281,Kennedi Singh,Toyota Yaris,10,25000,250000</t>
  </si>
  <si>
    <t>3=</t>
  </si>
  <si>
    <t>Add Discount Column</t>
  </si>
  <si>
    <t>11282,Harley Fritz,Seat Panda,150,28000,4200000</t>
  </si>
  <si>
    <t>4=</t>
  </si>
  <si>
    <t>Do formatting And coloring</t>
  </si>
  <si>
    <t>11283,Nyla Novak,Ford Focus,12,30000,360000</t>
  </si>
  <si>
    <t>5=</t>
  </si>
  <si>
    <t>Create a Function to give Discount of 20 % if Buying Quantiy more than 20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</si>
  <si>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</si>
  <si>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</si>
  <si>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</si>
  <si>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</si>
  <si>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</si>
  <si>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</si>
  <si>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</si>
  <si>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</si>
  <si>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</si>
  <si>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</si>
  <si>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</si>
  <si>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</si>
  <si>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</si>
  <si>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</si>
  <si>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Order ID</t>
  </si>
  <si>
    <t>Product</t>
  </si>
  <si>
    <t>Quantity</t>
  </si>
  <si>
    <t>Price</t>
  </si>
  <si>
    <t>Total</t>
  </si>
  <si>
    <t>Discount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</si>
  <si>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</si>
  <si>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</si>
  <si>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</si>
  <si>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</si>
  <si>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</si>
  <si>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</si>
  <si>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</si>
  <si>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</si>
  <si>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</si>
  <si>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</si>
  <si>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</si>
  <si>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</si>
  <si>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</si>
  <si>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</si>
  <si>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</si>
  <si>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</si>
  <si>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</si>
  <si>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</si>
  <si>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</si>
  <si>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</si>
  <si>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</si>
  <si>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</si>
  <si>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</si>
  <si>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</si>
  <si>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</si>
  <si>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</si>
  <si>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</si>
  <si>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</si>
  <si>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</si>
  <si>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</si>
  <si>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</si>
  <si>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</si>
  <si>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</si>
  <si>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</si>
  <si>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</si>
  <si>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</si>
  <si>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</si>
  <si>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</si>
  <si>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</si>
  <si>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Thomas Bettle</t>
  </si>
  <si>
    <t>Ian Nash</t>
  </si>
  <si>
    <t>Margaret Turley</t>
  </si>
  <si>
    <t>Michael Kaye</t>
  </si>
  <si>
    <t>Paul Bell</t>
  </si>
  <si>
    <t>Eric Green</t>
  </si>
  <si>
    <t>Williamr Black</t>
  </si>
  <si>
    <t>Estelle Cormack</t>
  </si>
  <si>
    <t>Christopher Fallon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</si>
  <si>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</si>
  <si>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</si>
  <si>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</si>
  <si>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</si>
  <si>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Note</t>
  </si>
  <si>
    <t>name</t>
  </si>
  <si>
    <t xml:space="preserve">name Johnny slash is not given data. So I have made duplicate dataset on the left side 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</si>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</sst>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B1mmm\-yy"/>
    <numFmt numFmtId="165" formatCode="_(* #,##0.00_);_(* \(#,##0.00\);_(* &quot;-&quot;??_);_(@_)"/>
    <numFmt numFmtId="166" formatCode="_([$$-409]* #,##0.00_);_([$$-409]* \(#,##0.00\);_([$$-409]* &quot;-&quot;??_);_(@_)"/>
    <numFmt numFmtId="167" formatCode="_ * #,##0_ ;_ * \-#,##0_ ;_ * &quot;-&quot;??_ ;_ @_ "/>
    <numFmt numFmtId="168" formatCode="_(* #,##0_);_(* \(#,##0\);_(* &quot;-&quot;??_);_(@_)"/>
    <numFmt numFmtId="169" formatCode="_(&quot;$&quot;* #,##0.00_);_(&quot;$&quot;* \(#,##0.00\);_(&quot;$&quot;* &quot;-&quot;??_);_(@_)"/>
    <numFmt numFmtId="170" formatCode="_-[$$-409]* #,##0.0000_ ;_-[$$-409]* \-#,##0.0000\ ;_-[$$-409]* &quot;-&quot;??_ ;_-@_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b/>
      <u/>
      <sz val="11"/>
      <color rgb="FF0E101A"/>
      <name val="Calibri"/>
      <family val="2"/>
    </font>
    <font>
      <u/>
      <sz val="18"/>
      <color theme="10"/>
      <name val="Calibri"/>
      <family val="2"/>
      <charset val="177"/>
      <scheme val="minor"/>
    </font>
    <font>
      <sz val="11"/>
      <color rgb="FF000000"/>
      <name val="Calibri"/>
      <family val="2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3" fillId="0" borderId="1" xfId="0" applyFont="1" applyBorder="1"/>
    <xf numFmtId="0" fontId="3" fillId="2" borderId="1" xfId="0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4" fillId="0" borderId="0" xfId="0" applyFont="1"/>
    <xf numFmtId="0" fontId="3" fillId="0" borderId="0" xfId="0" applyFont="1"/>
    <xf numFmtId="164" fontId="3" fillId="0" borderId="0" xfId="0" applyNumberFormat="1" applyFont="1"/>
    <xf numFmtId="0" fontId="3" fillId="5" borderId="0" xfId="0" applyFont="1" applyFill="1" applyProtection="1"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1" xfId="0" applyFont="1" applyBorder="1"/>
    <xf numFmtId="0" fontId="8" fillId="6" borderId="1" xfId="0" applyFont="1" applyFill="1" applyBorder="1"/>
    <xf numFmtId="0" fontId="7" fillId="6" borderId="1" xfId="0" applyFont="1" applyFill="1" applyBorder="1"/>
    <xf numFmtId="0" fontId="7" fillId="5" borderId="2" xfId="0" applyFont="1" applyFill="1" applyBorder="1" applyProtection="1">
      <protection locked="0"/>
    </xf>
    <xf numFmtId="0" fontId="9" fillId="0" borderId="0" xfId="0" applyFont="1"/>
    <xf numFmtId="0" fontId="10" fillId="0" borderId="0" xfId="0" applyFont="1"/>
    <xf numFmtId="0" fontId="1" fillId="0" borderId="0" xfId="0" applyFont="1"/>
    <xf numFmtId="0" fontId="11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165" fontId="12" fillId="7" borderId="1" xfId="0" applyNumberFormat="1" applyFont="1" applyFill="1" applyBorder="1" applyAlignment="1">
      <alignment vertical="center" wrapText="1"/>
    </xf>
    <xf numFmtId="165" fontId="12" fillId="7" borderId="1" xfId="0" applyNumberFormat="1" applyFont="1" applyFill="1" applyBorder="1" applyAlignment="1">
      <alignment horizontal="center" vertical="center" wrapText="1"/>
    </xf>
    <xf numFmtId="1" fontId="12" fillId="7" borderId="1" xfId="0" applyNumberFormat="1" applyFont="1" applyFill="1" applyBorder="1" applyAlignment="1">
      <alignment horizontal="center" vertical="center" wrapText="1"/>
    </xf>
    <xf numFmtId="0" fontId="10" fillId="5" borderId="2" xfId="0" applyFont="1" applyFill="1" applyBorder="1" applyProtection="1">
      <protection locked="0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5" xfId="0" applyFont="1" applyFill="1" applyBorder="1"/>
    <xf numFmtId="0" fontId="7" fillId="5" borderId="0" xfId="0" applyFont="1" applyFill="1" applyProtection="1">
      <protection locked="0"/>
    </xf>
    <xf numFmtId="0" fontId="14" fillId="0" borderId="0" xfId="0" applyFont="1"/>
    <xf numFmtId="0" fontId="9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9" borderId="6" xfId="0" applyFont="1" applyFill="1" applyBorder="1"/>
    <xf numFmtId="0" fontId="10" fillId="0" borderId="0" xfId="0" applyFont="1" applyAlignment="1">
      <alignment horizontal="left" indent="1"/>
    </xf>
    <xf numFmtId="0" fontId="15" fillId="0" borderId="0" xfId="0" applyFont="1"/>
    <xf numFmtId="0" fontId="4" fillId="0" borderId="1" xfId="0" applyFont="1" applyBorder="1"/>
    <xf numFmtId="0" fontId="3" fillId="5" borderId="1" xfId="0" applyFont="1" applyFill="1" applyBorder="1" applyProtection="1">
      <protection locked="0"/>
    </xf>
    <xf numFmtId="0" fontId="16" fillId="0" borderId="0" xfId="0" applyFont="1"/>
    <xf numFmtId="0" fontId="17" fillId="0" borderId="0" xfId="0" applyFont="1"/>
    <xf numFmtId="166" fontId="3" fillId="0" borderId="1" xfId="0" applyNumberFormat="1" applyFont="1" applyBorder="1"/>
    <xf numFmtId="0" fontId="3" fillId="0" borderId="0" xfId="0" applyFont="1" applyAlignment="1">
      <alignment horizontal="left"/>
    </xf>
    <xf numFmtId="0" fontId="18" fillId="0" borderId="0" xfId="0" applyFont="1"/>
    <xf numFmtId="0" fontId="3" fillId="0" borderId="0" xfId="0" applyFont="1" applyAlignment="1">
      <alignment horizontal="right"/>
    </xf>
    <xf numFmtId="0" fontId="17" fillId="0" borderId="1" xfId="0" applyFont="1" applyBorder="1"/>
    <xf numFmtId="0" fontId="17" fillId="0" borderId="7" xfId="0" applyFont="1" applyBorder="1"/>
    <xf numFmtId="0" fontId="3" fillId="0" borderId="7" xfId="0" applyFont="1" applyBorder="1"/>
    <xf numFmtId="0" fontId="3" fillId="0" borderId="0" xfId="0" applyFont="1" applyAlignment="1">
      <alignment wrapText="1"/>
    </xf>
    <xf numFmtId="0" fontId="0" fillId="0" borderId="0" xfId="0"/>
    <xf numFmtId="0" fontId="1" fillId="0" borderId="1" xfId="0" applyFont="1" applyBorder="1"/>
    <xf numFmtId="9" fontId="1" fillId="0" borderId="1" xfId="0" applyNumberFormat="1" applyFont="1" applyBorder="1"/>
    <xf numFmtId="0" fontId="2" fillId="0" borderId="1" xfId="0" applyFont="1" applyBorder="1"/>
    <xf numFmtId="167" fontId="1" fillId="0" borderId="1" xfId="1" applyNumberFormat="1" applyFont="1" applyBorder="1"/>
    <xf numFmtId="3" fontId="1" fillId="5" borderId="1" xfId="0" applyNumberFormat="1" applyFont="1" applyFill="1" applyBorder="1" applyProtection="1">
      <protection locked="0"/>
    </xf>
    <xf numFmtId="0" fontId="2" fillId="10" borderId="0" xfId="0" applyFont="1" applyFill="1"/>
    <xf numFmtId="0" fontId="2" fillId="0" borderId="0" xfId="0" applyFont="1"/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7" fillId="0" borderId="8" xfId="0" applyFont="1" applyBorder="1"/>
    <xf numFmtId="0" fontId="6" fillId="0" borderId="8" xfId="0" applyFont="1" applyBorder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5" borderId="2" xfId="0" applyFont="1" applyFill="1" applyBorder="1" applyProtection="1">
      <protection locked="0"/>
    </xf>
    <xf numFmtId="0" fontId="3" fillId="0" borderId="0" xfId="0" quotePrefix="1" applyFont="1"/>
    <xf numFmtId="0" fontId="19" fillId="0" borderId="0" xfId="0" applyFont="1"/>
    <xf numFmtId="0" fontId="15" fillId="0" borderId="0" xfId="0" quotePrefix="1" applyFont="1"/>
    <xf numFmtId="9" fontId="3" fillId="5" borderId="0" xfId="0" applyNumberFormat="1" applyFont="1" applyFill="1" applyProtection="1">
      <protection locked="0"/>
    </xf>
    <xf numFmtId="9" fontId="3" fillId="0" borderId="0" xfId="0" applyNumberFormat="1" applyFont="1"/>
    <xf numFmtId="0" fontId="20" fillId="0" borderId="0" xfId="2" applyFont="1"/>
    <xf numFmtId="9" fontId="15" fillId="0" borderId="0" xfId="0" applyNumberFormat="1" applyFont="1"/>
    <xf numFmtId="0" fontId="3" fillId="0" borderId="8" xfId="0" applyFont="1" applyBorder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6" xfId="0" applyFont="1" applyBorder="1"/>
    <xf numFmtId="0" fontId="0" fillId="0" borderId="6" xfId="0" applyBorder="1"/>
    <xf numFmtId="0" fontId="0" fillId="9" borderId="6" xfId="0" applyFill="1" applyBorder="1" applyProtection="1">
      <protection locked="0"/>
    </xf>
    <xf numFmtId="0" fontId="21" fillId="0" borderId="0" xfId="0" applyFont="1"/>
    <xf numFmtId="14" fontId="21" fillId="0" borderId="0" xfId="0" applyNumberFormat="1" applyFont="1"/>
    <xf numFmtId="10" fontId="21" fillId="0" borderId="0" xfId="0" applyNumberFormat="1" applyFont="1"/>
    <xf numFmtId="168" fontId="3" fillId="0" borderId="0" xfId="0" applyNumberFormat="1" applyFont="1" applyAlignment="1">
      <alignment horizontal="center"/>
    </xf>
    <xf numFmtId="168" fontId="3" fillId="5" borderId="2" xfId="0" applyNumberFormat="1" applyFont="1" applyFill="1" applyBorder="1" applyProtection="1">
      <protection locked="0"/>
    </xf>
    <xf numFmtId="14" fontId="4" fillId="11" borderId="1" xfId="0" applyNumberFormat="1" applyFont="1" applyFill="1" applyBorder="1"/>
    <xf numFmtId="169" fontId="4" fillId="11" borderId="1" xfId="0" applyNumberFormat="1" applyFont="1" applyFill="1" applyBorder="1"/>
    <xf numFmtId="14" fontId="3" fillId="0" borderId="1" xfId="0" applyNumberFormat="1" applyFont="1" applyBorder="1"/>
    <xf numFmtId="169" fontId="3" fillId="0" borderId="1" xfId="0" applyNumberFormat="1" applyFont="1" applyBorder="1"/>
    <xf numFmtId="14" fontId="3" fillId="0" borderId="0" xfId="0" applyNumberFormat="1" applyFont="1"/>
    <xf numFmtId="169" fontId="3" fillId="9" borderId="1" xfId="0" applyNumberFormat="1" applyFont="1" applyFill="1" applyBorder="1" applyProtection="1">
      <protection locked="0"/>
    </xf>
    <xf numFmtId="3" fontId="22" fillId="12" borderId="1" xfId="0" applyNumberFormat="1" applyFont="1" applyFill="1" applyBorder="1" applyAlignment="1">
      <alignment horizontal="center"/>
    </xf>
    <xf numFmtId="0" fontId="3" fillId="9" borderId="1" xfId="0" applyFont="1" applyFill="1" applyBorder="1" applyProtection="1">
      <protection locked="0"/>
    </xf>
    <xf numFmtId="3" fontId="3" fillId="0" borderId="0" xfId="0" applyNumberFormat="1" applyFont="1"/>
    <xf numFmtId="3" fontId="15" fillId="0" borderId="0" xfId="0" applyNumberFormat="1" applyFont="1"/>
    <xf numFmtId="3" fontId="22" fillId="0" borderId="0" xfId="0" applyNumberFormat="1" applyFont="1" applyAlignment="1">
      <alignment horizontal="right"/>
    </xf>
    <xf numFmtId="3" fontId="3" fillId="5" borderId="1" xfId="0" applyNumberFormat="1" applyFont="1" applyFill="1" applyBorder="1" applyProtection="1">
      <protection locked="0"/>
    </xf>
    <xf numFmtId="0" fontId="23" fillId="0" borderId="0" xfId="0" applyFont="1"/>
    <xf numFmtId="3" fontId="3" fillId="5" borderId="6" xfId="0" applyNumberFormat="1" applyFont="1" applyFill="1" applyBorder="1" applyProtection="1">
      <protection locked="0"/>
    </xf>
    <xf numFmtId="3" fontId="3" fillId="9" borderId="6" xfId="0" applyNumberFormat="1" applyFont="1" applyFill="1" applyBorder="1" applyProtection="1">
      <protection locked="0"/>
    </xf>
    <xf numFmtId="3" fontId="0" fillId="0" borderId="0" xfId="0" applyNumberFormat="1"/>
    <xf numFmtId="0" fontId="24" fillId="13" borderId="7" xfId="0" applyFont="1" applyFill="1" applyBorder="1" applyAlignment="1">
      <alignment horizontal="center"/>
    </xf>
    <xf numFmtId="0" fontId="25" fillId="0" borderId="9" xfId="0" applyFont="1" applyBorder="1"/>
    <xf numFmtId="0" fontId="25" fillId="0" borderId="10" xfId="0" applyFont="1" applyBorder="1"/>
    <xf numFmtId="0" fontId="22" fillId="12" borderId="1" xfId="0" applyFont="1" applyFill="1" applyBorder="1" applyAlignment="1">
      <alignment horizontal="center"/>
    </xf>
    <xf numFmtId="0" fontId="26" fillId="12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3" fontId="22" fillId="5" borderId="1" xfId="0" applyNumberFormat="1" applyFont="1" applyFill="1" applyBorder="1" applyAlignment="1">
      <alignment horizontal="center"/>
    </xf>
    <xf numFmtId="3" fontId="4" fillId="5" borderId="1" xfId="0" applyNumberFormat="1" applyFont="1" applyFill="1" applyBorder="1" applyAlignment="1">
      <alignment horizontal="center"/>
    </xf>
    <xf numFmtId="167" fontId="0" fillId="0" borderId="6" xfId="3" applyNumberFormat="1" applyFont="1" applyBorder="1"/>
    <xf numFmtId="0" fontId="0" fillId="9" borderId="11" xfId="0" applyFill="1" applyBorder="1" applyProtection="1">
      <protection locked="0"/>
    </xf>
    <xf numFmtId="0" fontId="27" fillId="0" borderId="0" xfId="0" applyFont="1"/>
    <xf numFmtId="0" fontId="28" fillId="0" borderId="0" xfId="0" applyFont="1"/>
    <xf numFmtId="0" fontId="28" fillId="0" borderId="6" xfId="0" applyFont="1" applyBorder="1"/>
    <xf numFmtId="0" fontId="27" fillId="0" borderId="6" xfId="0" applyFont="1" applyBorder="1"/>
    <xf numFmtId="0" fontId="29" fillId="0" borderId="0" xfId="0" applyFont="1" applyAlignment="1">
      <alignment vertical="center"/>
    </xf>
    <xf numFmtId="0" fontId="13" fillId="0" borderId="0" xfId="2" quotePrefix="1"/>
    <xf numFmtId="0" fontId="30" fillId="0" borderId="0" xfId="0" applyFont="1" applyAlignment="1">
      <alignment vertical="center"/>
    </xf>
    <xf numFmtId="0" fontId="31" fillId="0" borderId="0" xfId="0" applyFont="1"/>
    <xf numFmtId="0" fontId="32" fillId="0" borderId="0" xfId="0" applyFont="1"/>
    <xf numFmtId="0" fontId="33" fillId="9" borderId="6" xfId="0" applyFont="1" applyFill="1" applyBorder="1"/>
    <xf numFmtId="0" fontId="27" fillId="14" borderId="0" xfId="0" applyFont="1" applyFill="1" applyAlignment="1">
      <alignment horizontal="left" vertical="center" wrapText="1"/>
    </xf>
    <xf numFmtId="0" fontId="27" fillId="14" borderId="0" xfId="0" applyFont="1" applyFill="1" applyAlignment="1">
      <alignment horizontal="left" vertical="center" wrapText="1"/>
    </xf>
    <xf numFmtId="0" fontId="0" fillId="0" borderId="6" xfId="0" applyBorder="1" applyAlignment="1">
      <alignment wrapText="1"/>
    </xf>
    <xf numFmtId="0" fontId="0" fillId="0" borderId="0" xfId="0" applyAlignment="1">
      <alignment wrapText="1"/>
    </xf>
    <xf numFmtId="0" fontId="2" fillId="10" borderId="6" xfId="0" applyFont="1" applyFill="1" applyBorder="1"/>
    <xf numFmtId="0" fontId="34" fillId="0" borderId="0" xfId="0" applyFont="1" applyAlignment="1">
      <alignment wrapText="1"/>
    </xf>
    <xf numFmtId="14" fontId="35" fillId="0" borderId="0" xfId="0" applyNumberFormat="1" applyFont="1" applyAlignment="1">
      <alignment wrapText="1"/>
    </xf>
    <xf numFmtId="170" fontId="35" fillId="0" borderId="0" xfId="0" applyNumberFormat="1" applyFont="1" applyAlignment="1">
      <alignment horizontal="left" wrapText="1"/>
    </xf>
    <xf numFmtId="14" fontId="0" fillId="0" borderId="0" xfId="0" applyNumberFormat="1"/>
    <xf numFmtId="0" fontId="0" fillId="9" borderId="0" xfId="0" applyFill="1" applyProtection="1">
      <protection locked="0"/>
    </xf>
    <xf numFmtId="0" fontId="36" fillId="0" borderId="0" xfId="0" applyFont="1"/>
    <xf numFmtId="0" fontId="36" fillId="0" borderId="0" xfId="0" applyFont="1"/>
    <xf numFmtId="0" fontId="36" fillId="15" borderId="1" xfId="0" applyFont="1" applyFill="1" applyBorder="1"/>
    <xf numFmtId="0" fontId="36" fillId="15" borderId="10" xfId="0" applyFont="1" applyFill="1" applyBorder="1"/>
    <xf numFmtId="0" fontId="21" fillId="0" borderId="12" xfId="0" applyFont="1" applyBorder="1" applyAlignment="1">
      <alignment horizontal="left"/>
    </xf>
    <xf numFmtId="0" fontId="21" fillId="0" borderId="13" xfId="0" applyFont="1" applyBorder="1"/>
    <xf numFmtId="0" fontId="21" fillId="0" borderId="13" xfId="0" applyFont="1" applyBorder="1" applyAlignment="1">
      <alignment horizontal="right"/>
    </xf>
    <xf numFmtId="0" fontId="36" fillId="0" borderId="0" xfId="0" applyFont="1" applyAlignment="1">
      <alignment horizontal="right"/>
    </xf>
    <xf numFmtId="0" fontId="21" fillId="5" borderId="0" xfId="0" applyFont="1" applyFill="1" applyProtection="1">
      <protection locked="0"/>
    </xf>
    <xf numFmtId="0" fontId="21" fillId="0" borderId="0" xfId="0" applyFont="1"/>
    <xf numFmtId="0" fontId="36" fillId="0" borderId="1" xfId="0" applyFont="1" applyBorder="1"/>
    <xf numFmtId="0" fontId="36" fillId="0" borderId="10" xfId="0" applyFont="1" applyBorder="1"/>
    <xf numFmtId="0" fontId="21" fillId="5" borderId="13" xfId="0" applyFont="1" applyFill="1" applyBorder="1" applyProtection="1">
      <protection locked="0"/>
    </xf>
    <xf numFmtId="0" fontId="36" fillId="15" borderId="0" xfId="0" applyFont="1" applyFill="1"/>
    <xf numFmtId="0" fontId="21" fillId="0" borderId="12" xfId="0" applyFont="1" applyBorder="1"/>
    <xf numFmtId="0" fontId="33" fillId="0" borderId="0" xfId="0" applyFont="1"/>
    <xf numFmtId="0" fontId="32" fillId="0" borderId="6" xfId="0" applyFont="1" applyBorder="1"/>
    <xf numFmtId="0" fontId="33" fillId="0" borderId="6" xfId="0" applyFont="1" applyBorder="1"/>
    <xf numFmtId="0" fontId="31" fillId="0" borderId="0" xfId="0" applyFont="1" applyAlignment="1">
      <alignment vertical="center"/>
    </xf>
    <xf numFmtId="0" fontId="33" fillId="14" borderId="0" xfId="0" applyFont="1" applyFill="1" applyAlignment="1">
      <alignment horizontal="left" vertical="center" wrapText="1"/>
    </xf>
  </cellXfs>
  <cellStyles count="4">
    <cellStyle name="Comma" xfId="1" builtinId="3"/>
    <cellStyle name="Comma 2" xfId="3" xr:uid="{46E96EB7-9AA8-4BB8-B8FE-CEFE6B35D0A5}"/>
    <cellStyle name="Hyperlink" xfId="2" builtinId="8"/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D22"/>
  <sheetViews>
    <sheetView workbookViewId="0">
      <selection activeCell="G16" sqref="G16"/>
    </sheetView>
  </sheetViews>
  <sheetFormatPr defaultRowHeight="14.4" x14ac:dyDescent="0.3"/>
  <cols>
    <col min="1" max="1" width="2" bestFit="1" customWidth="1"/>
    <col min="2" max="2" width="33.5546875" customWidth="1"/>
    <col min="4" max="4" width="7.44140625" bestFit="1" customWidth="1"/>
  </cols>
  <sheetData>
    <row r="3" spans="1:4" x14ac:dyDescent="0.3">
      <c r="B3" s="1" t="s">
        <v>0</v>
      </c>
      <c r="C3" s="1" t="s">
        <v>1</v>
      </c>
      <c r="D3" s="1" t="s">
        <v>2</v>
      </c>
    </row>
    <row r="4" spans="1:4" x14ac:dyDescent="0.3">
      <c r="B4" s="2" t="s">
        <v>3</v>
      </c>
      <c r="C4" s="2" t="s">
        <v>4</v>
      </c>
      <c r="D4" s="2">
        <v>43</v>
      </c>
    </row>
    <row r="5" spans="1:4" x14ac:dyDescent="0.3">
      <c r="B5" s="2" t="s">
        <v>3</v>
      </c>
      <c r="C5" s="2" t="s">
        <v>5</v>
      </c>
      <c r="D5" s="2">
        <v>59</v>
      </c>
    </row>
    <row r="6" spans="1:4" x14ac:dyDescent="0.3">
      <c r="B6" s="2" t="s">
        <v>3</v>
      </c>
      <c r="C6" s="2" t="s">
        <v>6</v>
      </c>
      <c r="D6" s="2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6" spans="1:4" x14ac:dyDescent="0.3">
      <c r="A16" s="6">
        <v>1</v>
      </c>
      <c r="B16" s="6" t="s">
        <v>16</v>
      </c>
      <c r="D16">
        <f>AVERAGE(D4:D6)</f>
        <v>58</v>
      </c>
    </row>
    <row r="18" spans="1:4" x14ac:dyDescent="0.3">
      <c r="A18" s="6">
        <v>2</v>
      </c>
      <c r="B18" s="6" t="s">
        <v>17</v>
      </c>
      <c r="D18">
        <f>AVERAGE(D7:D9)</f>
        <v>162</v>
      </c>
    </row>
    <row r="20" spans="1:4" x14ac:dyDescent="0.3">
      <c r="A20" s="6">
        <v>3</v>
      </c>
      <c r="B20" s="6" t="s">
        <v>18</v>
      </c>
      <c r="D20">
        <f>AVERAGE(D10:D12)</f>
        <v>389</v>
      </c>
    </row>
    <row r="22" spans="1:4" x14ac:dyDescent="0.3">
      <c r="A22" s="6">
        <v>4</v>
      </c>
      <c r="B22" s="6" t="s">
        <v>19</v>
      </c>
      <c r="D22">
        <f>AVERAGE(D4:D12)</f>
        <v>203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3F2E-9348-4590-9CF4-F1E1754E5229}">
  <dimension ref="A1:D24"/>
  <sheetViews>
    <sheetView workbookViewId="0">
      <selection activeCell="I15" sqref="I15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3" x14ac:dyDescent="0.3">
      <c r="A1" s="6" t="s">
        <v>20</v>
      </c>
    </row>
    <row r="2" spans="1:3" x14ac:dyDescent="0.3">
      <c r="A2" s="6" t="s">
        <v>21</v>
      </c>
    </row>
    <row r="3" spans="1:3" x14ac:dyDescent="0.3">
      <c r="A3" s="5" t="s">
        <v>22</v>
      </c>
      <c r="B3" s="5" t="s">
        <v>23</v>
      </c>
      <c r="C3" s="5" t="s">
        <v>24</v>
      </c>
    </row>
    <row r="4" spans="1:3" x14ac:dyDescent="0.3">
      <c r="A4" s="6" t="s">
        <v>25</v>
      </c>
      <c r="B4" s="7">
        <v>43101</v>
      </c>
      <c r="C4" s="6">
        <v>152</v>
      </c>
    </row>
    <row r="5" spans="1:3" x14ac:dyDescent="0.3">
      <c r="A5" s="6" t="s">
        <v>26</v>
      </c>
      <c r="B5" s="7">
        <v>43101</v>
      </c>
      <c r="C5" s="6">
        <v>171</v>
      </c>
    </row>
    <row r="6" spans="1:3" x14ac:dyDescent="0.3">
      <c r="A6" s="6" t="s">
        <v>27</v>
      </c>
      <c r="B6" s="7">
        <v>43101</v>
      </c>
      <c r="C6" s="6">
        <v>110</v>
      </c>
    </row>
    <row r="7" spans="1:3" x14ac:dyDescent="0.3">
      <c r="A7" s="6" t="s">
        <v>28</v>
      </c>
      <c r="B7" s="7">
        <v>43132</v>
      </c>
      <c r="C7" s="6">
        <v>173</v>
      </c>
    </row>
    <row r="8" spans="1:3" x14ac:dyDescent="0.3">
      <c r="A8" s="6" t="s">
        <v>29</v>
      </c>
      <c r="B8" s="7">
        <v>43132</v>
      </c>
      <c r="C8" s="6">
        <v>128</v>
      </c>
    </row>
    <row r="9" spans="1:3" x14ac:dyDescent="0.3">
      <c r="A9" s="6" t="s">
        <v>30</v>
      </c>
      <c r="B9" s="7">
        <v>43132</v>
      </c>
      <c r="C9" s="6">
        <v>107</v>
      </c>
    </row>
    <row r="10" spans="1:3" x14ac:dyDescent="0.3">
      <c r="A10" s="6" t="s">
        <v>31</v>
      </c>
      <c r="B10" s="7">
        <v>43160</v>
      </c>
      <c r="C10" s="6">
        <v>213</v>
      </c>
    </row>
    <row r="11" spans="1:3" x14ac:dyDescent="0.3">
      <c r="A11" s="6" t="s">
        <v>32</v>
      </c>
      <c r="B11" s="7">
        <v>43160</v>
      </c>
      <c r="C11" s="6">
        <v>238</v>
      </c>
    </row>
    <row r="12" spans="1:3" x14ac:dyDescent="0.3">
      <c r="A12" s="6" t="s">
        <v>33</v>
      </c>
      <c r="B12" s="7">
        <v>43160</v>
      </c>
      <c r="C12" s="6">
        <v>131</v>
      </c>
    </row>
    <row r="14" spans="1:3" x14ac:dyDescent="0.3">
      <c r="A14" s="6" t="s">
        <v>34</v>
      </c>
    </row>
    <row r="16" spans="1:3" x14ac:dyDescent="0.3">
      <c r="A16" s="7">
        <v>43101</v>
      </c>
      <c r="B16" s="8">
        <f>AVERAGE(C4:C6)</f>
        <v>144.33333333333334</v>
      </c>
      <c r="C16" s="6"/>
    </row>
    <row r="17" spans="1:4" x14ac:dyDescent="0.3">
      <c r="A17" s="7">
        <v>43132</v>
      </c>
      <c r="B17" s="8">
        <f>AVERAGE(C7:C9)</f>
        <v>136</v>
      </c>
      <c r="C17" s="6"/>
    </row>
    <row r="18" spans="1:4" x14ac:dyDescent="0.3">
      <c r="A18" s="7">
        <v>43160</v>
      </c>
      <c r="B18" s="8">
        <f>AVERAGE(C10:C12)</f>
        <v>194</v>
      </c>
      <c r="C18" s="6"/>
    </row>
    <row r="21" spans="1:4" x14ac:dyDescent="0.3">
      <c r="A21" s="6" t="s">
        <v>35</v>
      </c>
    </row>
    <row r="23" spans="1:4" x14ac:dyDescent="0.3">
      <c r="A23" s="6" t="s">
        <v>36</v>
      </c>
      <c r="B23" s="8">
        <f>1423/9</f>
        <v>158.11111111111111</v>
      </c>
      <c r="C23" s="6">
        <f>SUM(C4:C12)</f>
        <v>1423</v>
      </c>
      <c r="D23">
        <f>COUNT(C4:C12)</f>
        <v>9</v>
      </c>
    </row>
    <row r="24" spans="1:4" x14ac:dyDescent="0.3">
      <c r="A24" s="6" t="s">
        <v>37</v>
      </c>
      <c r="B24" s="8">
        <f>AVERAGE(C4:C12)</f>
        <v>158.11111111111111</v>
      </c>
      <c r="C2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B106C-F0B1-41C7-B05D-5A4878830986}">
  <dimension ref="A1:G18"/>
  <sheetViews>
    <sheetView workbookViewId="0">
      <selection activeCell="H8" sqref="H8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9" t="s">
        <v>38</v>
      </c>
      <c r="B1" s="10"/>
      <c r="C1" s="10"/>
      <c r="D1" s="10"/>
      <c r="E1" s="10"/>
      <c r="F1" s="10"/>
      <c r="G1" s="10"/>
    </row>
    <row r="2" spans="1:7" x14ac:dyDescent="0.3">
      <c r="A2" s="11" t="s">
        <v>39</v>
      </c>
      <c r="B2" s="10"/>
      <c r="C2" s="10"/>
      <c r="D2" s="10"/>
      <c r="E2" s="10"/>
      <c r="F2" s="10"/>
      <c r="G2" s="10"/>
    </row>
    <row r="3" spans="1:7" x14ac:dyDescent="0.3">
      <c r="A3" s="12" t="s">
        <v>40</v>
      </c>
      <c r="B3" s="13" t="s">
        <v>41</v>
      </c>
      <c r="C3" s="10"/>
      <c r="D3" s="10"/>
      <c r="E3" s="10"/>
      <c r="F3" s="10"/>
      <c r="G3" s="10"/>
    </row>
    <row r="4" spans="1:7" x14ac:dyDescent="0.3">
      <c r="A4" s="12" t="s">
        <v>42</v>
      </c>
      <c r="B4" s="14">
        <v>7</v>
      </c>
      <c r="C4" s="10"/>
      <c r="D4" s="10"/>
      <c r="E4" s="10"/>
      <c r="F4" s="10"/>
      <c r="G4" s="10"/>
    </row>
    <row r="5" spans="1:7" x14ac:dyDescent="0.3">
      <c r="A5" s="12" t="s">
        <v>43</v>
      </c>
      <c r="B5" s="14">
        <v>5</v>
      </c>
      <c r="C5" s="10"/>
      <c r="D5" s="10"/>
      <c r="E5" s="10"/>
      <c r="F5" s="10"/>
      <c r="G5" s="10"/>
    </row>
    <row r="6" spans="1:7" x14ac:dyDescent="0.3">
      <c r="A6" s="12" t="s">
        <v>44</v>
      </c>
      <c r="B6" s="14">
        <v>6</v>
      </c>
      <c r="C6" s="10"/>
      <c r="D6" s="10"/>
      <c r="E6" s="10"/>
      <c r="F6" s="10"/>
      <c r="G6" s="10"/>
    </row>
    <row r="7" spans="1:7" x14ac:dyDescent="0.3">
      <c r="A7" s="12" t="s">
        <v>45</v>
      </c>
      <c r="B7" s="14">
        <v>4</v>
      </c>
      <c r="C7" s="10"/>
      <c r="D7" s="10"/>
      <c r="E7" s="10"/>
      <c r="F7" s="10"/>
      <c r="G7" s="10"/>
    </row>
    <row r="8" spans="1:7" x14ac:dyDescent="0.3">
      <c r="A8" s="12" t="s">
        <v>46</v>
      </c>
      <c r="B8" s="14" t="s">
        <v>47</v>
      </c>
      <c r="C8" s="10"/>
      <c r="D8" s="10"/>
      <c r="E8" s="10"/>
      <c r="F8" s="10"/>
      <c r="G8" s="10"/>
    </row>
    <row r="9" spans="1:7" x14ac:dyDescent="0.3">
      <c r="A9" s="12" t="s">
        <v>48</v>
      </c>
      <c r="B9" s="14" t="s">
        <v>49</v>
      </c>
      <c r="C9" s="10"/>
      <c r="D9" s="10"/>
      <c r="E9" s="10"/>
      <c r="F9" s="10"/>
      <c r="G9" s="10"/>
    </row>
    <row r="10" spans="1:7" x14ac:dyDescent="0.3">
      <c r="A10" s="12" t="s">
        <v>50</v>
      </c>
      <c r="B10" s="14" t="s">
        <v>50</v>
      </c>
      <c r="C10" s="10"/>
      <c r="D10" s="10"/>
      <c r="E10" s="10"/>
      <c r="F10" s="10"/>
      <c r="G10" s="10"/>
    </row>
    <row r="11" spans="1:7" x14ac:dyDescent="0.3">
      <c r="A11" s="10"/>
      <c r="B11" s="10"/>
      <c r="C11" s="10"/>
      <c r="D11" s="10"/>
      <c r="E11" s="10"/>
      <c r="F11" s="10"/>
      <c r="G11" s="10"/>
    </row>
    <row r="12" spans="1:7" x14ac:dyDescent="0.3">
      <c r="A12" s="11" t="s">
        <v>51</v>
      </c>
      <c r="B12" s="10"/>
      <c r="C12" s="10"/>
      <c r="D12" s="10"/>
      <c r="E12" s="10"/>
      <c r="F12" s="10"/>
      <c r="G12" s="10"/>
    </row>
    <row r="13" spans="1:7" x14ac:dyDescent="0.3">
      <c r="A13" s="10"/>
      <c r="B13" s="10"/>
      <c r="C13" s="10"/>
      <c r="D13" s="10"/>
      <c r="E13" s="10"/>
      <c r="F13" s="10"/>
      <c r="G13" s="10"/>
    </row>
    <row r="14" spans="1:7" ht="15" thickBot="1" x14ac:dyDescent="0.35">
      <c r="A14" s="11" t="s">
        <v>52</v>
      </c>
      <c r="B14" s="11" t="s">
        <v>53</v>
      </c>
      <c r="C14" s="10"/>
      <c r="D14" s="10"/>
      <c r="E14" s="10"/>
      <c r="F14" s="10"/>
      <c r="G14" s="10"/>
    </row>
    <row r="15" spans="1:7" ht="15" thickBot="1" x14ac:dyDescent="0.35">
      <c r="A15" s="11" t="s">
        <v>41</v>
      </c>
      <c r="B15" s="15">
        <f>COUNT(B4:B10)</f>
        <v>4</v>
      </c>
      <c r="C15" s="11"/>
      <c r="D15" s="10"/>
      <c r="E15" s="10"/>
      <c r="F15" s="10"/>
      <c r="G15" s="10"/>
    </row>
    <row r="16" spans="1:7" x14ac:dyDescent="0.3">
      <c r="A16" s="10"/>
      <c r="B16" s="10"/>
      <c r="C16" s="10"/>
      <c r="D16" s="10"/>
      <c r="E16" s="10"/>
      <c r="F16" s="10"/>
      <c r="G16" s="10"/>
    </row>
    <row r="17" spans="1:7" ht="15" thickBot="1" x14ac:dyDescent="0.35">
      <c r="A17" s="11" t="s">
        <v>52</v>
      </c>
      <c r="B17" s="11" t="s">
        <v>54</v>
      </c>
      <c r="C17" s="10"/>
      <c r="D17" s="10"/>
      <c r="E17" s="10"/>
      <c r="F17" s="10"/>
      <c r="G17" s="10"/>
    </row>
    <row r="18" spans="1:7" ht="15" thickBot="1" x14ac:dyDescent="0.35">
      <c r="A18" s="11" t="s">
        <v>41</v>
      </c>
      <c r="B18" s="15">
        <f>COUNTA(B4:B10)</f>
        <v>7</v>
      </c>
      <c r="C18" s="11"/>
      <c r="D18" s="10"/>
      <c r="E18" s="10"/>
      <c r="F18" s="10"/>
      <c r="G18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9214E-97BD-4AAC-8F90-D8740D032464}">
  <dimension ref="A1:F27"/>
  <sheetViews>
    <sheetView workbookViewId="0">
      <selection activeCell="L23" sqref="L23"/>
    </sheetView>
  </sheetViews>
  <sheetFormatPr defaultColWidth="9.109375" defaultRowHeight="14.4" x14ac:dyDescent="0.3"/>
  <cols>
    <col min="1" max="1" width="19.33203125" style="18" customWidth="1"/>
    <col min="2" max="2" width="16.33203125" style="18" bestFit="1" customWidth="1"/>
    <col min="3" max="16384" width="9.109375" style="18"/>
  </cols>
  <sheetData>
    <row r="1" spans="1:6" x14ac:dyDescent="0.3">
      <c r="A1" s="16" t="s">
        <v>55</v>
      </c>
      <c r="B1" s="17"/>
      <c r="C1" s="17"/>
      <c r="D1" s="17"/>
      <c r="E1" s="17"/>
      <c r="F1" s="17"/>
    </row>
    <row r="2" spans="1:6" x14ac:dyDescent="0.3">
      <c r="A2" s="16" t="s">
        <v>56</v>
      </c>
      <c r="B2" s="17"/>
      <c r="C2" s="17"/>
      <c r="D2" s="17"/>
      <c r="E2" s="17"/>
      <c r="F2" s="17"/>
    </row>
    <row r="3" spans="1:6" x14ac:dyDescent="0.3">
      <c r="A3" s="19" t="s">
        <v>57</v>
      </c>
      <c r="B3" s="19" t="s">
        <v>58</v>
      </c>
      <c r="C3" s="19" t="s">
        <v>59</v>
      </c>
      <c r="D3" s="17"/>
      <c r="E3" s="17"/>
      <c r="F3" s="17"/>
    </row>
    <row r="4" spans="1:6" x14ac:dyDescent="0.3">
      <c r="A4" s="20">
        <v>101</v>
      </c>
      <c r="B4" s="20" t="s">
        <v>60</v>
      </c>
      <c r="C4" s="21">
        <v>78022</v>
      </c>
      <c r="D4" s="17"/>
      <c r="E4" s="17"/>
      <c r="F4" s="17"/>
    </row>
    <row r="5" spans="1:6" x14ac:dyDescent="0.3">
      <c r="A5" s="20">
        <v>102</v>
      </c>
      <c r="B5" s="20" t="s">
        <v>61</v>
      </c>
      <c r="C5" s="21">
        <v>99819</v>
      </c>
      <c r="D5" s="17"/>
      <c r="E5" s="17"/>
      <c r="F5" s="17"/>
    </row>
    <row r="6" spans="1:6" x14ac:dyDescent="0.3">
      <c r="A6" s="20">
        <v>103</v>
      </c>
      <c r="B6" s="20" t="s">
        <v>62</v>
      </c>
      <c r="C6" s="22" t="s">
        <v>63</v>
      </c>
      <c r="D6" s="17"/>
      <c r="E6" s="17"/>
      <c r="F6" s="17"/>
    </row>
    <row r="7" spans="1:6" x14ac:dyDescent="0.3">
      <c r="A7" s="20">
        <v>104</v>
      </c>
      <c r="B7" s="20" t="s">
        <v>64</v>
      </c>
      <c r="C7" s="21">
        <v>27522</v>
      </c>
      <c r="D7" s="17"/>
      <c r="E7" s="17"/>
      <c r="F7" s="17"/>
    </row>
    <row r="8" spans="1:6" x14ac:dyDescent="0.3">
      <c r="A8" s="20">
        <v>105</v>
      </c>
      <c r="B8" s="20" t="s">
        <v>65</v>
      </c>
      <c r="C8" s="23">
        <v>0</v>
      </c>
      <c r="D8" s="17"/>
      <c r="E8" s="17"/>
      <c r="F8" s="17"/>
    </row>
    <row r="9" spans="1:6" x14ac:dyDescent="0.3">
      <c r="A9" s="20">
        <v>106</v>
      </c>
      <c r="B9" s="20" t="s">
        <v>66</v>
      </c>
      <c r="C9" s="23"/>
      <c r="D9" s="17"/>
      <c r="E9" s="17"/>
      <c r="F9" s="17"/>
    </row>
    <row r="10" spans="1:6" x14ac:dyDescent="0.3">
      <c r="A10" s="20">
        <v>107</v>
      </c>
      <c r="B10" s="20" t="s">
        <v>67</v>
      </c>
      <c r="C10" s="23">
        <v>0</v>
      </c>
      <c r="D10" s="17"/>
      <c r="E10" s="17"/>
      <c r="F10" s="17"/>
    </row>
    <row r="11" spans="1:6" x14ac:dyDescent="0.3">
      <c r="A11" s="20">
        <v>108</v>
      </c>
      <c r="B11" s="20" t="s">
        <v>68</v>
      </c>
      <c r="C11" s="21">
        <v>88041</v>
      </c>
      <c r="D11" s="17"/>
      <c r="E11" s="17"/>
      <c r="F11" s="17"/>
    </row>
    <row r="12" spans="1:6" x14ac:dyDescent="0.3">
      <c r="A12" s="20">
        <v>109</v>
      </c>
      <c r="B12" s="20" t="s">
        <v>69</v>
      </c>
      <c r="C12" s="21">
        <v>81831</v>
      </c>
      <c r="D12" s="17"/>
      <c r="E12" s="17"/>
      <c r="F12" s="17"/>
    </row>
    <row r="13" spans="1:6" x14ac:dyDescent="0.3">
      <c r="A13" s="20">
        <v>110</v>
      </c>
      <c r="B13" s="20" t="s">
        <v>70</v>
      </c>
      <c r="C13" s="22" t="s">
        <v>63</v>
      </c>
      <c r="D13" s="17"/>
      <c r="E13" s="17"/>
      <c r="F13" s="17"/>
    </row>
    <row r="14" spans="1:6" x14ac:dyDescent="0.3">
      <c r="A14" s="20">
        <v>111</v>
      </c>
      <c r="B14" s="20" t="s">
        <v>71</v>
      </c>
      <c r="C14" s="21"/>
      <c r="D14" s="17"/>
      <c r="E14" s="17"/>
      <c r="F14" s="17"/>
    </row>
    <row r="15" spans="1:6" ht="24" x14ac:dyDescent="0.3">
      <c r="A15" s="20">
        <v>112</v>
      </c>
      <c r="B15" s="20" t="s">
        <v>72</v>
      </c>
      <c r="C15" s="21">
        <v>26624</v>
      </c>
      <c r="D15" s="17"/>
      <c r="E15" s="17"/>
      <c r="F15" s="17"/>
    </row>
    <row r="16" spans="1:6" x14ac:dyDescent="0.3">
      <c r="A16" s="20">
        <v>113</v>
      </c>
      <c r="B16" s="20" t="s">
        <v>73</v>
      </c>
      <c r="C16" s="21">
        <v>92885</v>
      </c>
      <c r="D16" s="17"/>
      <c r="E16" s="17"/>
      <c r="F16" s="17"/>
    </row>
    <row r="17" spans="1:6" ht="24" x14ac:dyDescent="0.3">
      <c r="A17" s="20">
        <v>114</v>
      </c>
      <c r="B17" s="20" t="s">
        <v>74</v>
      </c>
      <c r="C17" s="23">
        <v>0</v>
      </c>
      <c r="D17" s="17"/>
      <c r="E17" s="17"/>
      <c r="F17" s="17"/>
    </row>
    <row r="18" spans="1:6" x14ac:dyDescent="0.3">
      <c r="A18" s="17"/>
      <c r="B18" s="17"/>
      <c r="C18" s="17"/>
      <c r="D18" s="17"/>
      <c r="E18" s="17"/>
      <c r="F18" s="17"/>
    </row>
    <row r="19" spans="1:6" x14ac:dyDescent="0.3">
      <c r="A19" s="16" t="s">
        <v>75</v>
      </c>
      <c r="B19" s="17"/>
      <c r="C19" s="17"/>
      <c r="D19" s="17"/>
      <c r="E19" s="17"/>
      <c r="F19" s="17"/>
    </row>
    <row r="20" spans="1:6" ht="15" thickBot="1" x14ac:dyDescent="0.35">
      <c r="A20" s="17" t="s">
        <v>52</v>
      </c>
      <c r="B20" s="17" t="s">
        <v>76</v>
      </c>
      <c r="C20" s="17"/>
      <c r="D20" s="17"/>
      <c r="E20" s="17"/>
      <c r="F20" s="17"/>
    </row>
    <row r="21" spans="1:6" ht="15" thickBot="1" x14ac:dyDescent="0.35">
      <c r="A21" s="17" t="s">
        <v>41</v>
      </c>
      <c r="B21" s="24">
        <f>COUNT(C4:C17)</f>
        <v>10</v>
      </c>
      <c r="C21" s="17"/>
      <c r="D21" s="17"/>
      <c r="E21" s="17"/>
      <c r="F21" s="17"/>
    </row>
    <row r="22" spans="1:6" x14ac:dyDescent="0.3">
      <c r="A22" s="17"/>
      <c r="B22" s="17"/>
      <c r="C22" s="17"/>
      <c r="D22" s="17"/>
      <c r="E22" s="17"/>
      <c r="F22" s="17"/>
    </row>
    <row r="23" spans="1:6" x14ac:dyDescent="0.3">
      <c r="A23" s="17"/>
      <c r="B23" s="17" t="s">
        <v>77</v>
      </c>
      <c r="C23" s="17"/>
      <c r="D23" s="17"/>
      <c r="E23" s="17"/>
      <c r="F23" s="17"/>
    </row>
    <row r="24" spans="1:6" x14ac:dyDescent="0.3">
      <c r="A24" s="17"/>
      <c r="B24" s="17"/>
      <c r="C24" s="17"/>
      <c r="D24" s="17"/>
      <c r="E24" s="17"/>
      <c r="F24" s="17"/>
    </row>
    <row r="25" spans="1:6" x14ac:dyDescent="0.3">
      <c r="A25" s="17"/>
      <c r="B25" s="17"/>
      <c r="C25" s="17"/>
      <c r="D25" s="17"/>
      <c r="E25" s="17"/>
      <c r="F25" s="17"/>
    </row>
    <row r="26" spans="1:6" ht="15" thickBot="1" x14ac:dyDescent="0.35">
      <c r="A26" s="17" t="s">
        <v>52</v>
      </c>
      <c r="B26" s="17" t="s">
        <v>78</v>
      </c>
      <c r="C26" s="17"/>
      <c r="D26" s="17"/>
      <c r="E26" s="17"/>
      <c r="F26" s="17"/>
    </row>
    <row r="27" spans="1:6" ht="15" thickBot="1" x14ac:dyDescent="0.35">
      <c r="A27" s="17" t="s">
        <v>41</v>
      </c>
      <c r="B27" s="24">
        <f>COUNTA(C4:C17)</f>
        <v>12</v>
      </c>
      <c r="C27" s="17"/>
      <c r="D27" s="17"/>
      <c r="E27" s="17"/>
      <c r="F27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B42D0-9CB1-4E46-B551-A36F1751FE19}">
  <dimension ref="A1:F28"/>
  <sheetViews>
    <sheetView topLeftCell="A11" workbookViewId="0">
      <selection activeCell="L19" sqref="L19"/>
    </sheetView>
  </sheetViews>
  <sheetFormatPr defaultRowHeight="14.4" x14ac:dyDescent="0.3"/>
  <cols>
    <col min="1" max="1" width="2" bestFit="1" customWidth="1"/>
    <col min="2" max="2" width="16.33203125" bestFit="1" customWidth="1"/>
    <col min="3" max="3" width="18.44140625" bestFit="1" customWidth="1"/>
    <col min="4" max="4" width="11" bestFit="1" customWidth="1"/>
  </cols>
  <sheetData>
    <row r="1" spans="1:6" x14ac:dyDescent="0.3">
      <c r="A1" s="10"/>
      <c r="B1" s="11" t="s">
        <v>79</v>
      </c>
      <c r="C1" s="10"/>
      <c r="D1" s="10"/>
      <c r="E1" s="10"/>
      <c r="F1" s="10"/>
    </row>
    <row r="2" spans="1:6" ht="15" thickBot="1" x14ac:dyDescent="0.35">
      <c r="A2" s="10"/>
      <c r="B2" s="10"/>
      <c r="C2" s="10"/>
      <c r="D2" s="10"/>
      <c r="E2" s="10"/>
      <c r="F2" s="10"/>
    </row>
    <row r="3" spans="1:6" x14ac:dyDescent="0.3">
      <c r="A3" s="10"/>
      <c r="B3" s="25"/>
      <c r="C3" s="10"/>
      <c r="D3" s="10"/>
      <c r="E3" s="10"/>
      <c r="F3" s="10"/>
    </row>
    <row r="4" spans="1:6" x14ac:dyDescent="0.3">
      <c r="A4" s="10"/>
      <c r="B4" s="26" t="s">
        <v>80</v>
      </c>
      <c r="C4" s="10"/>
      <c r="D4" s="10"/>
      <c r="E4" s="10"/>
      <c r="F4" s="10"/>
    </row>
    <row r="5" spans="1:6" x14ac:dyDescent="0.3">
      <c r="A5" s="10"/>
      <c r="B5" s="26">
        <v>4</v>
      </c>
      <c r="C5" s="10"/>
      <c r="D5" s="10"/>
      <c r="E5" s="10"/>
      <c r="F5" s="10"/>
    </row>
    <row r="6" spans="1:6" x14ac:dyDescent="0.3">
      <c r="A6" s="10"/>
      <c r="B6" s="26"/>
      <c r="C6" s="10"/>
      <c r="D6" s="10"/>
      <c r="E6" s="10"/>
      <c r="F6" s="10"/>
    </row>
    <row r="7" spans="1:6" x14ac:dyDescent="0.3">
      <c r="A7" s="10"/>
      <c r="B7" s="26">
        <v>3</v>
      </c>
      <c r="C7" s="10"/>
      <c r="D7" s="10"/>
      <c r="E7" s="10"/>
      <c r="F7" s="10"/>
    </row>
    <row r="8" spans="1:6" x14ac:dyDescent="0.3">
      <c r="A8" s="10"/>
      <c r="B8" s="26"/>
      <c r="C8" s="10"/>
      <c r="D8" s="10"/>
      <c r="E8" s="10"/>
      <c r="F8" s="10"/>
    </row>
    <row r="9" spans="1:6" x14ac:dyDescent="0.3">
      <c r="A9" s="10"/>
      <c r="B9" s="26" t="s">
        <v>81</v>
      </c>
      <c r="C9" s="10"/>
      <c r="D9" s="10"/>
      <c r="E9" s="10"/>
      <c r="F9" s="10"/>
    </row>
    <row r="10" spans="1:6" x14ac:dyDescent="0.3">
      <c r="A10" s="10"/>
      <c r="B10" s="26"/>
      <c r="C10" s="10"/>
      <c r="D10" s="10"/>
      <c r="E10" s="10"/>
      <c r="F10" s="10"/>
    </row>
    <row r="11" spans="1:6" x14ac:dyDescent="0.3">
      <c r="A11" s="10"/>
      <c r="B11" s="26" t="e">
        <v>#DIV/0!</v>
      </c>
      <c r="C11" s="10"/>
      <c r="D11" s="10"/>
      <c r="E11" s="10"/>
      <c r="F11" s="10"/>
    </row>
    <row r="12" spans="1:6" x14ac:dyDescent="0.3">
      <c r="A12" s="10"/>
      <c r="B12" s="26" t="s">
        <v>82</v>
      </c>
      <c r="C12" s="10"/>
      <c r="D12" s="10"/>
      <c r="E12" s="10"/>
      <c r="F12" s="10"/>
    </row>
    <row r="13" spans="1:6" ht="15" thickBot="1" x14ac:dyDescent="0.35">
      <c r="A13" s="10"/>
      <c r="B13" s="27" t="s">
        <v>83</v>
      </c>
      <c r="C13" s="10"/>
      <c r="D13" s="10"/>
      <c r="E13" s="10"/>
      <c r="F13" s="10"/>
    </row>
    <row r="14" spans="1:6" x14ac:dyDescent="0.3">
      <c r="A14" s="10"/>
      <c r="B14" s="10"/>
      <c r="C14" s="10"/>
      <c r="D14" s="10"/>
      <c r="E14" s="10"/>
      <c r="F14" s="10"/>
    </row>
    <row r="15" spans="1:6" x14ac:dyDescent="0.3">
      <c r="A15" s="10"/>
      <c r="B15" s="11" t="s">
        <v>84</v>
      </c>
      <c r="C15" s="10"/>
      <c r="D15" s="10"/>
      <c r="E15" s="10"/>
      <c r="F15" s="10"/>
    </row>
    <row r="16" spans="1:6" x14ac:dyDescent="0.3">
      <c r="A16" s="10"/>
      <c r="B16" s="10"/>
      <c r="C16" s="10"/>
      <c r="D16" s="10"/>
      <c r="E16" s="10"/>
      <c r="F16" s="10"/>
    </row>
    <row r="17" spans="1:6" x14ac:dyDescent="0.3">
      <c r="A17" s="11">
        <v>1</v>
      </c>
      <c r="B17" s="11" t="s">
        <v>85</v>
      </c>
      <c r="C17" s="10"/>
      <c r="D17" s="10"/>
      <c r="E17" s="10"/>
      <c r="F17" s="10"/>
    </row>
    <row r="18" spans="1:6" x14ac:dyDescent="0.3">
      <c r="A18" s="10"/>
      <c r="B18" s="28">
        <f>COUNT(B3:B13)</f>
        <v>2</v>
      </c>
      <c r="C18" s="11"/>
      <c r="D18" s="10"/>
      <c r="E18" s="10"/>
      <c r="F18" s="10"/>
    </row>
    <row r="19" spans="1:6" x14ac:dyDescent="0.3">
      <c r="A19" s="10"/>
      <c r="B19" s="10"/>
      <c r="C19" s="10"/>
      <c r="D19" s="10"/>
      <c r="E19" s="10"/>
      <c r="F19" s="10"/>
    </row>
    <row r="20" spans="1:6" x14ac:dyDescent="0.3">
      <c r="A20" s="11">
        <v>2</v>
      </c>
      <c r="B20" s="11" t="s">
        <v>86</v>
      </c>
      <c r="C20" s="10"/>
      <c r="D20" s="10"/>
      <c r="E20" s="10"/>
      <c r="F20" s="10"/>
    </row>
    <row r="21" spans="1:6" x14ac:dyDescent="0.3">
      <c r="A21" s="10"/>
      <c r="B21" s="28">
        <f>COUNTBLANK(B3:B13)</f>
        <v>4</v>
      </c>
      <c r="C21" s="11"/>
      <c r="D21" s="10"/>
      <c r="E21" s="10"/>
      <c r="F21" s="10"/>
    </row>
    <row r="22" spans="1:6" x14ac:dyDescent="0.3">
      <c r="A22" s="10"/>
      <c r="B22" s="10"/>
      <c r="C22" s="10"/>
      <c r="D22" s="10"/>
      <c r="E22" s="10"/>
      <c r="F22" s="10"/>
    </row>
    <row r="23" spans="1:6" x14ac:dyDescent="0.3">
      <c r="A23" s="11">
        <v>3</v>
      </c>
      <c r="B23" s="11" t="s">
        <v>87</v>
      </c>
      <c r="C23" s="10"/>
      <c r="D23" s="10"/>
      <c r="E23" s="10"/>
      <c r="F23" s="10"/>
    </row>
    <row r="24" spans="1:6" x14ac:dyDescent="0.3">
      <c r="A24" s="10"/>
      <c r="B24" s="28">
        <f>7-2</f>
        <v>5</v>
      </c>
      <c r="C24" s="11">
        <f>COUNTA(B3:B13)</f>
        <v>7</v>
      </c>
      <c r="D24" s="10">
        <f>COUNT(B3:B13)</f>
        <v>2</v>
      </c>
      <c r="E24" s="10"/>
      <c r="F24" s="10"/>
    </row>
    <row r="25" spans="1:6" x14ac:dyDescent="0.3">
      <c r="A25" s="10"/>
      <c r="B25" s="10"/>
      <c r="C25" s="10" t="s">
        <v>90</v>
      </c>
      <c r="D25" s="10" t="s">
        <v>89</v>
      </c>
      <c r="E25" s="10"/>
      <c r="F25" s="10"/>
    </row>
    <row r="26" spans="1:6" x14ac:dyDescent="0.3">
      <c r="A26" s="11">
        <v>4</v>
      </c>
      <c r="B26" s="11" t="s">
        <v>88</v>
      </c>
      <c r="C26" s="10"/>
      <c r="D26" s="10"/>
      <c r="E26" s="10"/>
      <c r="F26" s="10"/>
    </row>
    <row r="27" spans="1:6" x14ac:dyDescent="0.3">
      <c r="B27" s="28">
        <f>7+4</f>
        <v>11</v>
      </c>
      <c r="C27" s="11">
        <f>COUNTA(B3:B13)</f>
        <v>7</v>
      </c>
      <c r="D27" s="10">
        <f>COUNTBLANK(B3:B13)</f>
        <v>4</v>
      </c>
      <c r="E27" s="10"/>
      <c r="F27" s="10"/>
    </row>
    <row r="28" spans="1:6" x14ac:dyDescent="0.3">
      <c r="A28" s="10"/>
      <c r="B28" s="10"/>
      <c r="C28" s="10" t="s">
        <v>90</v>
      </c>
      <c r="D28" s="10" t="s">
        <v>91</v>
      </c>
      <c r="E28" s="10"/>
      <c r="F2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51B30-3989-44EA-A50A-B8C06C2C928A}">
  <dimension ref="A1:L41"/>
  <sheetViews>
    <sheetView workbookViewId="0">
      <selection activeCell="J34" sqref="J34"/>
    </sheetView>
  </sheetViews>
  <sheetFormatPr defaultColWidth="8.6640625" defaultRowHeight="14.4" outlineLevelRow="1" x14ac:dyDescent="0.3"/>
  <cols>
    <col min="1" max="1" width="2.5546875" style="16" customWidth="1"/>
    <col min="2" max="2" width="18.109375" style="17" customWidth="1"/>
    <col min="3" max="3" width="9.5546875" style="17" customWidth="1"/>
    <col min="4" max="4" width="9.6640625" style="17" bestFit="1" customWidth="1"/>
    <col min="5" max="5" width="11.44140625" style="17" bestFit="1" customWidth="1"/>
    <col min="6" max="6" width="8.88671875" style="17" bestFit="1" customWidth="1"/>
    <col min="7" max="7" width="9.44140625" style="17" bestFit="1" customWidth="1"/>
    <col min="8" max="8" width="11.109375" style="17" bestFit="1" customWidth="1"/>
    <col min="9" max="9" width="13.5546875" style="17" bestFit="1" customWidth="1"/>
    <col min="10" max="10" width="11.33203125" style="17" bestFit="1" customWidth="1"/>
    <col min="11" max="11" width="11.5546875" style="17" bestFit="1" customWidth="1"/>
    <col min="12" max="12" width="11.88671875" style="17" bestFit="1" customWidth="1"/>
    <col min="13" max="16384" width="8.6640625" style="17"/>
  </cols>
  <sheetData>
    <row r="1" spans="1:12" x14ac:dyDescent="0.3">
      <c r="A1" s="17"/>
    </row>
    <row r="2" spans="1:12" x14ac:dyDescent="0.3">
      <c r="A2" s="17"/>
      <c r="B2" s="29" t="s">
        <v>92</v>
      </c>
    </row>
    <row r="3" spans="1:12" x14ac:dyDescent="0.3">
      <c r="A3" s="17"/>
      <c r="B3" s="30" t="s">
        <v>93</v>
      </c>
      <c r="C3" s="30">
        <v>101</v>
      </c>
      <c r="D3" s="30">
        <v>102</v>
      </c>
      <c r="E3" s="30">
        <v>103</v>
      </c>
      <c r="F3" s="30">
        <v>104</v>
      </c>
      <c r="G3" s="30">
        <v>105</v>
      </c>
      <c r="H3" s="30">
        <v>106</v>
      </c>
      <c r="I3" s="30">
        <v>107</v>
      </c>
      <c r="J3" s="30">
        <v>108</v>
      </c>
      <c r="K3" s="30">
        <v>109</v>
      </c>
      <c r="L3" s="30">
        <v>110</v>
      </c>
    </row>
    <row r="4" spans="1:12" x14ac:dyDescent="0.3">
      <c r="A4" s="17"/>
      <c r="B4" s="30" t="s">
        <v>94</v>
      </c>
      <c r="C4" s="31" t="s">
        <v>95</v>
      </c>
      <c r="D4" s="31" t="s">
        <v>96</v>
      </c>
      <c r="E4" s="31" t="s">
        <v>97</v>
      </c>
      <c r="F4" s="31" t="s">
        <v>98</v>
      </c>
      <c r="G4" s="31" t="s">
        <v>99</v>
      </c>
      <c r="H4" s="31" t="s">
        <v>100</v>
      </c>
      <c r="I4" s="31" t="s">
        <v>101</v>
      </c>
      <c r="J4" s="31" t="s">
        <v>102</v>
      </c>
      <c r="K4" s="31" t="s">
        <v>103</v>
      </c>
      <c r="L4" s="31" t="s">
        <v>104</v>
      </c>
    </row>
    <row r="5" spans="1:12" x14ac:dyDescent="0.3">
      <c r="A5" s="17"/>
      <c r="B5" s="30" t="s">
        <v>105</v>
      </c>
      <c r="C5" s="31" t="s">
        <v>106</v>
      </c>
      <c r="D5" s="31" t="s">
        <v>107</v>
      </c>
      <c r="E5" s="31" t="s">
        <v>108</v>
      </c>
      <c r="F5" s="31" t="s">
        <v>109</v>
      </c>
      <c r="G5" s="31" t="s">
        <v>106</v>
      </c>
      <c r="H5" s="31" t="s">
        <v>107</v>
      </c>
      <c r="I5" s="31" t="s">
        <v>108</v>
      </c>
      <c r="J5" s="31" t="s">
        <v>109</v>
      </c>
      <c r="K5" s="31" t="s">
        <v>106</v>
      </c>
      <c r="L5" s="31" t="s">
        <v>107</v>
      </c>
    </row>
    <row r="6" spans="1:12" x14ac:dyDescent="0.3">
      <c r="A6" s="17"/>
      <c r="B6" s="30" t="s">
        <v>110</v>
      </c>
      <c r="C6" s="31">
        <v>50000</v>
      </c>
      <c r="D6" s="31">
        <v>55000</v>
      </c>
      <c r="E6" s="31">
        <v>60000</v>
      </c>
      <c r="F6" s="31">
        <v>65000</v>
      </c>
      <c r="G6" s="31">
        <v>70000</v>
      </c>
      <c r="H6" s="31">
        <v>75000</v>
      </c>
      <c r="I6" s="31">
        <v>80000</v>
      </c>
      <c r="J6" s="31">
        <v>85000</v>
      </c>
      <c r="K6" s="31">
        <v>90000</v>
      </c>
      <c r="L6" s="31">
        <v>95000</v>
      </c>
    </row>
    <row r="7" spans="1:12" x14ac:dyDescent="0.3">
      <c r="A7" s="17"/>
      <c r="B7" s="30" t="s">
        <v>111</v>
      </c>
      <c r="C7" s="31">
        <v>2000</v>
      </c>
      <c r="D7" s="31">
        <v>2500</v>
      </c>
      <c r="E7" s="31">
        <v>3000</v>
      </c>
      <c r="F7" s="31">
        <v>3500</v>
      </c>
      <c r="G7" s="31">
        <v>4000</v>
      </c>
      <c r="H7" s="31">
        <v>4500</v>
      </c>
      <c r="I7" s="31">
        <v>5000</v>
      </c>
      <c r="J7" s="31">
        <v>5500</v>
      </c>
      <c r="K7" s="31">
        <v>6000</v>
      </c>
      <c r="L7" s="31">
        <v>6500</v>
      </c>
    </row>
    <row r="8" spans="1:12" x14ac:dyDescent="0.3">
      <c r="A8" s="17"/>
      <c r="B8" s="30" t="s">
        <v>112</v>
      </c>
      <c r="C8" s="31">
        <v>52000</v>
      </c>
      <c r="D8" s="31">
        <v>57500</v>
      </c>
      <c r="E8" s="31">
        <v>63000</v>
      </c>
      <c r="F8" s="31">
        <v>685000</v>
      </c>
      <c r="G8" s="31">
        <v>74000</v>
      </c>
      <c r="H8" s="31">
        <v>79500</v>
      </c>
      <c r="I8" s="31">
        <v>85000</v>
      </c>
      <c r="J8" s="31">
        <v>90500</v>
      </c>
      <c r="K8" s="31">
        <v>96000</v>
      </c>
      <c r="L8" s="31">
        <v>101500</v>
      </c>
    </row>
    <row r="9" spans="1:12" x14ac:dyDescent="0.3">
      <c r="A9" s="17"/>
    </row>
    <row r="10" spans="1:12" x14ac:dyDescent="0.3">
      <c r="A10" s="16">
        <v>1</v>
      </c>
      <c r="B10" s="29" t="s">
        <v>113</v>
      </c>
    </row>
    <row r="11" spans="1:12" x14ac:dyDescent="0.3">
      <c r="C11" s="29"/>
      <c r="D11" s="29"/>
    </row>
    <row r="12" spans="1:12" x14ac:dyDescent="0.3">
      <c r="B12" s="17" t="s">
        <v>114</v>
      </c>
      <c r="C12" s="32" t="str">
        <f>HLOOKUP(D3,B3:L8,3,)</f>
        <v>Marketing</v>
      </c>
    </row>
    <row r="13" spans="1:12" hidden="1" outlineLevel="1" x14ac:dyDescent="0.3">
      <c r="B13" s="29"/>
    </row>
    <row r="14" spans="1:12" hidden="1" outlineLevel="1" x14ac:dyDescent="0.3"/>
    <row r="15" spans="1:12" hidden="1" outlineLevel="1" x14ac:dyDescent="0.3">
      <c r="B15" s="33"/>
    </row>
    <row r="16" spans="1:12" hidden="1" outlineLevel="1" x14ac:dyDescent="0.3">
      <c r="B16" s="33"/>
    </row>
    <row r="17" spans="1:4" hidden="1" outlineLevel="1" x14ac:dyDescent="0.3">
      <c r="B17" s="33"/>
    </row>
    <row r="18" spans="1:4" hidden="1" outlineLevel="1" x14ac:dyDescent="0.3">
      <c r="B18" s="33"/>
    </row>
    <row r="19" spans="1:4" hidden="1" outlineLevel="1" x14ac:dyDescent="0.3">
      <c r="B19" s="33"/>
    </row>
    <row r="20" spans="1:4" collapsed="1" x14ac:dyDescent="0.3"/>
    <row r="21" spans="1:4" x14ac:dyDescent="0.3">
      <c r="A21" s="16">
        <v>2</v>
      </c>
      <c r="B21" s="29" t="s">
        <v>115</v>
      </c>
    </row>
    <row r="22" spans="1:4" x14ac:dyDescent="0.3">
      <c r="C22" s="29"/>
      <c r="D22" s="29"/>
    </row>
    <row r="23" spans="1:4" x14ac:dyDescent="0.3">
      <c r="B23" s="17" t="s">
        <v>114</v>
      </c>
      <c r="C23" s="32">
        <f>HLOOKUP(G3,B3:L8,4,)</f>
        <v>70000</v>
      </c>
    </row>
    <row r="25" spans="1:4" hidden="1" outlineLevel="1" x14ac:dyDescent="0.3">
      <c r="B25" s="29"/>
    </row>
    <row r="26" spans="1:4" hidden="1" outlineLevel="1" x14ac:dyDescent="0.3"/>
    <row r="27" spans="1:4" hidden="1" outlineLevel="1" x14ac:dyDescent="0.3">
      <c r="B27" s="33"/>
    </row>
    <row r="28" spans="1:4" hidden="1" outlineLevel="1" x14ac:dyDescent="0.3">
      <c r="B28" s="33"/>
    </row>
    <row r="29" spans="1:4" hidden="1" outlineLevel="1" x14ac:dyDescent="0.3">
      <c r="B29" s="33"/>
    </row>
    <row r="30" spans="1:4" hidden="1" outlineLevel="1" x14ac:dyDescent="0.3">
      <c r="B30" s="33"/>
    </row>
    <row r="31" spans="1:4" collapsed="1" x14ac:dyDescent="0.3"/>
    <row r="32" spans="1:4" x14ac:dyDescent="0.3">
      <c r="A32" s="16">
        <v>3</v>
      </c>
      <c r="B32" s="29" t="s">
        <v>116</v>
      </c>
      <c r="C32" s="29"/>
      <c r="D32" s="29"/>
    </row>
    <row r="33" spans="2:3" x14ac:dyDescent="0.3">
      <c r="B33" s="16" t="s">
        <v>114</v>
      </c>
      <c r="C33" s="32">
        <f>HLOOKUP(I3,B3:L8,6,)</f>
        <v>85000</v>
      </c>
    </row>
    <row r="35" spans="2:3" hidden="1" outlineLevel="1" x14ac:dyDescent="0.3">
      <c r="B35" s="29" t="s">
        <v>117</v>
      </c>
    </row>
    <row r="36" spans="2:3" hidden="1" outlineLevel="1" x14ac:dyDescent="0.3"/>
    <row r="37" spans="2:3" hidden="1" outlineLevel="1" x14ac:dyDescent="0.3">
      <c r="B37" s="33"/>
    </row>
    <row r="38" spans="2:3" hidden="1" outlineLevel="1" x14ac:dyDescent="0.3">
      <c r="B38" s="33"/>
    </row>
    <row r="39" spans="2:3" hidden="1" outlineLevel="1" x14ac:dyDescent="0.3">
      <c r="B39" s="33"/>
    </row>
    <row r="40" spans="2:3" hidden="1" outlineLevel="1" x14ac:dyDescent="0.3">
      <c r="B40" s="33"/>
    </row>
    <row r="41" spans="2:3" collapsed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05D8-BC74-4659-B449-0D59C26D9243}">
  <dimension ref="A1:E11"/>
  <sheetViews>
    <sheetView workbookViewId="0">
      <selection activeCell="S8" sqref="S8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34" t="s">
        <v>118</v>
      </c>
      <c r="B1" s="18"/>
      <c r="C1" s="18"/>
      <c r="D1" s="18"/>
      <c r="E1" s="18"/>
    </row>
    <row r="2" spans="1:5" x14ac:dyDescent="0.3">
      <c r="A2" s="6" t="s">
        <v>119</v>
      </c>
      <c r="B2" s="18"/>
      <c r="C2" s="18"/>
      <c r="D2" s="18"/>
      <c r="E2" s="18"/>
    </row>
    <row r="3" spans="1:5" x14ac:dyDescent="0.3">
      <c r="A3" s="6" t="s">
        <v>120</v>
      </c>
      <c r="B3" s="18"/>
      <c r="C3" s="18"/>
      <c r="D3" s="18"/>
      <c r="E3" s="18"/>
    </row>
    <row r="4" spans="1:5" x14ac:dyDescent="0.3">
      <c r="A4" s="6" t="s">
        <v>121</v>
      </c>
      <c r="B4" s="18"/>
      <c r="C4" s="18"/>
      <c r="D4" s="18"/>
      <c r="E4" s="18"/>
    </row>
    <row r="5" spans="1:5" x14ac:dyDescent="0.3">
      <c r="A5" s="18"/>
      <c r="B5" s="18"/>
      <c r="C5" s="18"/>
      <c r="D5" s="18"/>
      <c r="E5" s="18"/>
    </row>
    <row r="6" spans="1:5" x14ac:dyDescent="0.3">
      <c r="A6" s="35" t="s">
        <v>1</v>
      </c>
      <c r="B6" s="35" t="s">
        <v>122</v>
      </c>
      <c r="C6" s="35" t="s">
        <v>123</v>
      </c>
      <c r="D6" s="18"/>
      <c r="E6" s="18"/>
    </row>
    <row r="7" spans="1:5" x14ac:dyDescent="0.3">
      <c r="A7" s="1" t="s">
        <v>124</v>
      </c>
      <c r="B7" s="1">
        <v>98</v>
      </c>
      <c r="C7" s="36" t="str">
        <f>IF(B7&gt;=60,"Pass","Fail")</f>
        <v>Pass</v>
      </c>
      <c r="D7" s="6"/>
      <c r="E7" s="18"/>
    </row>
    <row r="8" spans="1:5" x14ac:dyDescent="0.3">
      <c r="A8" s="1" t="s">
        <v>125</v>
      </c>
      <c r="B8" s="1">
        <v>55</v>
      </c>
      <c r="C8" s="36" t="str">
        <f t="shared" ref="C8:C10" si="0">IF(B8&gt;=60,"Pass","Fail")</f>
        <v>Fail</v>
      </c>
      <c r="D8" s="6"/>
      <c r="E8" s="18"/>
    </row>
    <row r="9" spans="1:5" x14ac:dyDescent="0.3">
      <c r="A9" s="1" t="s">
        <v>126</v>
      </c>
      <c r="B9" s="1">
        <v>15</v>
      </c>
      <c r="C9" s="36" t="str">
        <f t="shared" si="0"/>
        <v>Fail</v>
      </c>
      <c r="D9" s="6"/>
      <c r="E9" s="18"/>
    </row>
    <row r="10" spans="1:5" x14ac:dyDescent="0.3">
      <c r="A10" s="1" t="s">
        <v>127</v>
      </c>
      <c r="B10" s="1">
        <v>60</v>
      </c>
      <c r="C10" s="36" t="str">
        <f t="shared" si="0"/>
        <v>Pass</v>
      </c>
      <c r="D10" s="6"/>
      <c r="E10" s="18"/>
    </row>
    <row r="11" spans="1:5" x14ac:dyDescent="0.3">
      <c r="A11" s="18"/>
      <c r="B11" s="18"/>
      <c r="C11" s="18"/>
      <c r="D11" s="18"/>
      <c r="E11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FFEB2-6B01-4AB5-831D-E85FBAE9E3F8}">
  <dimension ref="A1:E10"/>
  <sheetViews>
    <sheetView workbookViewId="0">
      <selection activeCell="H8" sqref="H8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5" x14ac:dyDescent="0.3">
      <c r="A1" s="34" t="s">
        <v>128</v>
      </c>
    </row>
    <row r="2" spans="1:5" x14ac:dyDescent="0.3">
      <c r="A2" s="37" t="s">
        <v>129</v>
      </c>
    </row>
    <row r="3" spans="1:5" x14ac:dyDescent="0.3">
      <c r="A3" s="34" t="s">
        <v>130</v>
      </c>
    </row>
    <row r="4" spans="1:5" x14ac:dyDescent="0.3">
      <c r="A4" s="38"/>
    </row>
    <row r="5" spans="1:5" x14ac:dyDescent="0.3">
      <c r="B5" s="6" t="s">
        <v>4</v>
      </c>
      <c r="C5" s="6" t="s">
        <v>5</v>
      </c>
    </row>
    <row r="6" spans="1:5" x14ac:dyDescent="0.3">
      <c r="A6" s="1"/>
      <c r="B6" s="1" t="s">
        <v>131</v>
      </c>
      <c r="C6" s="1" t="s">
        <v>132</v>
      </c>
      <c r="D6" s="35" t="s">
        <v>133</v>
      </c>
    </row>
    <row r="7" spans="1:5" x14ac:dyDescent="0.3">
      <c r="A7" s="1" t="s">
        <v>134</v>
      </c>
      <c r="B7" s="39">
        <v>94</v>
      </c>
      <c r="C7" s="39">
        <v>94</v>
      </c>
      <c r="D7" s="36" t="str">
        <f>IF(B7=C7,"Match","No Match")</f>
        <v>Match</v>
      </c>
      <c r="E7" s="6"/>
    </row>
    <row r="8" spans="1:5" x14ac:dyDescent="0.3">
      <c r="A8" s="1" t="s">
        <v>135</v>
      </c>
      <c r="B8" s="39">
        <v>109</v>
      </c>
      <c r="C8" s="39">
        <v>109</v>
      </c>
      <c r="D8" s="36" t="str">
        <f t="shared" ref="D8:D10" si="0">IF(B8=C8,"Match","No Match")</f>
        <v>Match</v>
      </c>
      <c r="E8" s="6"/>
    </row>
    <row r="9" spans="1:5" x14ac:dyDescent="0.3">
      <c r="A9" s="1" t="s">
        <v>136</v>
      </c>
      <c r="B9" s="39">
        <v>85</v>
      </c>
      <c r="C9" s="39">
        <v>85.5</v>
      </c>
      <c r="D9" s="36" t="str">
        <f t="shared" si="0"/>
        <v>No Match</v>
      </c>
      <c r="E9" s="6"/>
    </row>
    <row r="10" spans="1:5" x14ac:dyDescent="0.3">
      <c r="A10" s="1" t="s">
        <v>137</v>
      </c>
      <c r="B10" s="39">
        <v>12</v>
      </c>
      <c r="C10" s="39">
        <v>12</v>
      </c>
      <c r="D10" s="36" t="str">
        <f t="shared" si="0"/>
        <v>Match</v>
      </c>
      <c r="E1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BBE7-89DB-423F-A8C4-D510E4767287}">
  <dimension ref="A1:H30"/>
  <sheetViews>
    <sheetView workbookViewId="0">
      <selection activeCell="K8" sqref="K8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8" x14ac:dyDescent="0.3">
      <c r="B1" s="6" t="s">
        <v>138</v>
      </c>
    </row>
    <row r="2" spans="1:8" x14ac:dyDescent="0.3">
      <c r="A2" s="40">
        <v>1</v>
      </c>
      <c r="B2" s="41" t="s">
        <v>139</v>
      </c>
    </row>
    <row r="3" spans="1:8" x14ac:dyDescent="0.3">
      <c r="A3" s="40"/>
      <c r="B3" s="42"/>
    </row>
    <row r="4" spans="1:8" x14ac:dyDescent="0.3">
      <c r="A4" s="40">
        <v>2</v>
      </c>
      <c r="B4" s="41" t="s">
        <v>140</v>
      </c>
    </row>
    <row r="5" spans="1:8" x14ac:dyDescent="0.3">
      <c r="A5" s="40"/>
      <c r="B5" s="6"/>
    </row>
    <row r="6" spans="1:8" x14ac:dyDescent="0.3">
      <c r="A6" s="40"/>
      <c r="B6" s="6"/>
    </row>
    <row r="7" spans="1:8" x14ac:dyDescent="0.3">
      <c r="E7" s="1" t="s">
        <v>141</v>
      </c>
      <c r="F7" s="1" t="s">
        <v>142</v>
      </c>
    </row>
    <row r="8" spans="1:8" x14ac:dyDescent="0.3">
      <c r="B8" s="43" t="s">
        <v>143</v>
      </c>
      <c r="C8" s="43" t="s">
        <v>1</v>
      </c>
      <c r="D8" s="44" t="s">
        <v>144</v>
      </c>
      <c r="E8" s="43" t="s">
        <v>145</v>
      </c>
      <c r="F8" s="43" t="s">
        <v>146</v>
      </c>
      <c r="H8" s="6"/>
    </row>
    <row r="9" spans="1:8" x14ac:dyDescent="0.3">
      <c r="B9" s="1">
        <v>1</v>
      </c>
      <c r="C9" s="1" t="s">
        <v>147</v>
      </c>
      <c r="D9" s="45">
        <v>16</v>
      </c>
      <c r="E9" s="36" t="str">
        <f>IF(D9&gt;=16,"Eligible","Not Eligible")</f>
        <v>Eligible</v>
      </c>
      <c r="F9" s="36" t="str">
        <f>IF(D9&lt;18,"Minor","Adult")</f>
        <v>Minor</v>
      </c>
      <c r="H9" s="6"/>
    </row>
    <row r="10" spans="1:8" x14ac:dyDescent="0.3">
      <c r="B10" s="1">
        <v>2</v>
      </c>
      <c r="C10" s="1" t="s">
        <v>148</v>
      </c>
      <c r="D10" s="45">
        <v>18</v>
      </c>
      <c r="E10" s="36" t="str">
        <f t="shared" ref="E10:E16" si="0">IF(D10&gt;=16,"Eligible","Not Eligible")</f>
        <v>Eligible</v>
      </c>
      <c r="F10" s="36" t="str">
        <f t="shared" ref="F10:F16" si="1">IF(D10&lt;18,"Minor","Adult")</f>
        <v>Adult</v>
      </c>
      <c r="H10" s="6"/>
    </row>
    <row r="11" spans="1:8" x14ac:dyDescent="0.3">
      <c r="B11" s="1">
        <v>3</v>
      </c>
      <c r="C11" s="1" t="s">
        <v>149</v>
      </c>
      <c r="D11" s="45">
        <v>15.5</v>
      </c>
      <c r="E11" s="36" t="str">
        <f t="shared" si="0"/>
        <v>Not Eligible</v>
      </c>
      <c r="F11" s="36" t="str">
        <f t="shared" si="1"/>
        <v>Minor</v>
      </c>
      <c r="H11" s="6"/>
    </row>
    <row r="12" spans="1:8" x14ac:dyDescent="0.3">
      <c r="B12" s="1">
        <v>4</v>
      </c>
      <c r="C12" s="1" t="s">
        <v>150</v>
      </c>
      <c r="D12" s="45">
        <v>19</v>
      </c>
      <c r="E12" s="36" t="str">
        <f t="shared" si="0"/>
        <v>Eligible</v>
      </c>
      <c r="F12" s="36" t="str">
        <f t="shared" si="1"/>
        <v>Adult</v>
      </c>
      <c r="H12" s="6"/>
    </row>
    <row r="13" spans="1:8" x14ac:dyDescent="0.3">
      <c r="B13" s="1">
        <v>5</v>
      </c>
      <c r="C13" s="1" t="s">
        <v>151</v>
      </c>
      <c r="D13" s="45">
        <v>18</v>
      </c>
      <c r="E13" s="36" t="str">
        <f t="shared" si="0"/>
        <v>Eligible</v>
      </c>
      <c r="F13" s="36" t="str">
        <f t="shared" si="1"/>
        <v>Adult</v>
      </c>
      <c r="H13" s="6"/>
    </row>
    <row r="14" spans="1:8" x14ac:dyDescent="0.3">
      <c r="B14" s="1">
        <v>6</v>
      </c>
      <c r="C14" s="1" t="s">
        <v>152</v>
      </c>
      <c r="D14" s="45">
        <v>13</v>
      </c>
      <c r="E14" s="36" t="str">
        <f t="shared" si="0"/>
        <v>Not Eligible</v>
      </c>
      <c r="F14" s="36" t="str">
        <f t="shared" si="1"/>
        <v>Minor</v>
      </c>
      <c r="H14" s="6"/>
    </row>
    <row r="15" spans="1:8" x14ac:dyDescent="0.3">
      <c r="B15" s="1">
        <v>7</v>
      </c>
      <c r="C15" s="1" t="s">
        <v>153</v>
      </c>
      <c r="D15" s="45">
        <v>18</v>
      </c>
      <c r="E15" s="36" t="str">
        <f t="shared" si="0"/>
        <v>Eligible</v>
      </c>
      <c r="F15" s="36" t="str">
        <f t="shared" si="1"/>
        <v>Adult</v>
      </c>
      <c r="H15" s="6"/>
    </row>
    <row r="16" spans="1:8" x14ac:dyDescent="0.3">
      <c r="B16" s="1">
        <v>8</v>
      </c>
      <c r="C16" s="1" t="s">
        <v>154</v>
      </c>
      <c r="D16" s="45">
        <v>17</v>
      </c>
      <c r="E16" s="36" t="str">
        <f t="shared" si="0"/>
        <v>Eligible</v>
      </c>
      <c r="F16" s="36" t="str">
        <f t="shared" si="1"/>
        <v>Minor</v>
      </c>
      <c r="H16" s="6"/>
    </row>
    <row r="18" spans="1:8" x14ac:dyDescent="0.3">
      <c r="B18" s="38"/>
      <c r="C18" s="38"/>
      <c r="D18" s="38"/>
    </row>
    <row r="19" spans="1:8" x14ac:dyDescent="0.3">
      <c r="B19" s="38"/>
      <c r="C19" s="38"/>
      <c r="D19" s="38"/>
    </row>
    <row r="20" spans="1:8" x14ac:dyDescent="0.3">
      <c r="A20" s="6"/>
      <c r="B20" s="6"/>
      <c r="C20" s="34"/>
      <c r="D20" s="34"/>
    </row>
    <row r="21" spans="1:8" x14ac:dyDescent="0.3">
      <c r="A21" s="6"/>
      <c r="B21" s="6"/>
      <c r="C21" s="6"/>
      <c r="D21" s="34"/>
    </row>
    <row r="22" spans="1:8" x14ac:dyDescent="0.3">
      <c r="A22" s="6"/>
      <c r="B22" s="6"/>
      <c r="C22" s="6"/>
      <c r="D22" s="34"/>
    </row>
    <row r="23" spans="1:8" x14ac:dyDescent="0.3">
      <c r="B23" s="5"/>
    </row>
    <row r="24" spans="1:8" x14ac:dyDescent="0.3">
      <c r="B24" s="5"/>
    </row>
    <row r="25" spans="1:8" x14ac:dyDescent="0.3">
      <c r="B25" s="38"/>
      <c r="C25" s="38"/>
      <c r="D25" s="38"/>
    </row>
    <row r="26" spans="1:8" x14ac:dyDescent="0.3">
      <c r="B26" s="38"/>
      <c r="C26" s="38"/>
      <c r="D26" s="38"/>
    </row>
    <row r="27" spans="1:8" x14ac:dyDescent="0.3">
      <c r="A27" s="6"/>
      <c r="B27" s="6"/>
      <c r="C27" s="34"/>
      <c r="D27" s="34"/>
      <c r="F27" s="46"/>
      <c r="G27" s="47"/>
      <c r="H27" s="47"/>
    </row>
    <row r="28" spans="1:8" x14ac:dyDescent="0.3">
      <c r="A28" s="6"/>
      <c r="B28" s="6"/>
      <c r="C28" s="6"/>
      <c r="D28" s="34"/>
      <c r="F28" s="47"/>
      <c r="G28" s="47"/>
      <c r="H28" s="47"/>
    </row>
    <row r="29" spans="1:8" x14ac:dyDescent="0.3">
      <c r="A29" s="6"/>
      <c r="B29" s="6"/>
      <c r="C29" s="6"/>
      <c r="D29" s="34"/>
      <c r="F29" s="47"/>
      <c r="G29" s="47"/>
      <c r="H29" s="47"/>
    </row>
    <row r="30" spans="1:8" x14ac:dyDescent="0.3">
      <c r="B30" s="5"/>
    </row>
  </sheetData>
  <mergeCells count="1">
    <mergeCell ref="F27:H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D9BFB-9E49-4A2E-BC4C-AF2E964E356F}">
  <dimension ref="A1:D17"/>
  <sheetViews>
    <sheetView workbookViewId="0">
      <selection activeCell="J18" sqref="J18"/>
    </sheetView>
  </sheetViews>
  <sheetFormatPr defaultColWidth="9.109375" defaultRowHeight="14.4" x14ac:dyDescent="0.3"/>
  <cols>
    <col min="1" max="1" width="13.5546875" style="18" customWidth="1"/>
    <col min="2" max="2" width="27.44140625" style="18" customWidth="1"/>
    <col min="3" max="3" width="17.6640625" style="18" customWidth="1"/>
    <col min="4" max="4" width="14" style="18" customWidth="1"/>
    <col min="5" max="16384" width="9.109375" style="18"/>
  </cols>
  <sheetData>
    <row r="1" spans="1:4" x14ac:dyDescent="0.3">
      <c r="A1" s="18" t="s">
        <v>155</v>
      </c>
    </row>
    <row r="3" spans="1:4" x14ac:dyDescent="0.3">
      <c r="B3" s="18" t="s">
        <v>59</v>
      </c>
    </row>
    <row r="4" spans="1:4" x14ac:dyDescent="0.3">
      <c r="A4" s="48" t="s">
        <v>156</v>
      </c>
      <c r="B4" s="49">
        <v>1</v>
      </c>
    </row>
    <row r="5" spans="1:4" x14ac:dyDescent="0.3">
      <c r="A5" s="48" t="s">
        <v>157</v>
      </c>
      <c r="B5" s="49">
        <v>0.5</v>
      </c>
    </row>
    <row r="7" spans="1:4" x14ac:dyDescent="0.3">
      <c r="A7" s="18" t="s">
        <v>158</v>
      </c>
    </row>
    <row r="8" spans="1:4" x14ac:dyDescent="0.3">
      <c r="A8" s="18" t="s">
        <v>159</v>
      </c>
    </row>
    <row r="10" spans="1:4" x14ac:dyDescent="0.3">
      <c r="A10" s="50" t="s">
        <v>1</v>
      </c>
      <c r="B10" s="50" t="s">
        <v>160</v>
      </c>
      <c r="C10" s="50" t="s">
        <v>161</v>
      </c>
      <c r="D10" s="50" t="s">
        <v>162</v>
      </c>
    </row>
    <row r="11" spans="1:4" x14ac:dyDescent="0.3">
      <c r="A11" s="48" t="s">
        <v>163</v>
      </c>
      <c r="B11" s="48" t="s">
        <v>156</v>
      </c>
      <c r="C11" s="51">
        <v>46866</v>
      </c>
      <c r="D11" s="52" t="str">
        <f>IF(B11="A+","100%","50%")</f>
        <v>100%</v>
      </c>
    </row>
    <row r="12" spans="1:4" x14ac:dyDescent="0.3">
      <c r="A12" s="48" t="s">
        <v>164</v>
      </c>
      <c r="B12" s="48" t="s">
        <v>157</v>
      </c>
      <c r="C12" s="51">
        <v>33495</v>
      </c>
      <c r="D12" s="52" t="str">
        <f t="shared" ref="D12:D17" si="0">IF(B12="A+","100%","50%")</f>
        <v>50%</v>
      </c>
    </row>
    <row r="13" spans="1:4" x14ac:dyDescent="0.3">
      <c r="A13" s="48" t="s">
        <v>165</v>
      </c>
      <c r="B13" s="48" t="s">
        <v>157</v>
      </c>
      <c r="C13" s="51">
        <v>35087</v>
      </c>
      <c r="D13" s="52" t="str">
        <f t="shared" si="0"/>
        <v>50%</v>
      </c>
    </row>
    <row r="14" spans="1:4" x14ac:dyDescent="0.3">
      <c r="A14" s="48" t="s">
        <v>166</v>
      </c>
      <c r="B14" s="48" t="s">
        <v>156</v>
      </c>
      <c r="C14" s="51">
        <v>42603</v>
      </c>
      <c r="D14" s="52" t="str">
        <f t="shared" si="0"/>
        <v>100%</v>
      </c>
    </row>
    <row r="15" spans="1:4" x14ac:dyDescent="0.3">
      <c r="A15" s="48" t="s">
        <v>151</v>
      </c>
      <c r="B15" s="48" t="s">
        <v>157</v>
      </c>
      <c r="C15" s="51">
        <v>36971</v>
      </c>
      <c r="D15" s="52" t="str">
        <f t="shared" si="0"/>
        <v>50%</v>
      </c>
    </row>
    <row r="16" spans="1:4" x14ac:dyDescent="0.3">
      <c r="A16" s="48" t="s">
        <v>167</v>
      </c>
      <c r="B16" s="48" t="s">
        <v>156</v>
      </c>
      <c r="C16" s="51">
        <v>41286</v>
      </c>
      <c r="D16" s="52" t="str">
        <f t="shared" si="0"/>
        <v>100%</v>
      </c>
    </row>
    <row r="17" spans="1:4" x14ac:dyDescent="0.3">
      <c r="A17" s="48" t="s">
        <v>168</v>
      </c>
      <c r="B17" s="48" t="s">
        <v>157</v>
      </c>
      <c r="C17" s="51">
        <v>37732</v>
      </c>
      <c r="D17" s="52" t="str">
        <f t="shared" si="0"/>
        <v>50%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37ED-A009-4BE8-AE1E-0A6A26E30B44}">
  <dimension ref="A1:G20"/>
  <sheetViews>
    <sheetView workbookViewId="0">
      <selection activeCell="H16" sqref="H16"/>
    </sheetView>
  </sheetViews>
  <sheetFormatPr defaultRowHeight="14.4" x14ac:dyDescent="0.3"/>
  <sheetData>
    <row r="1" spans="1:7" x14ac:dyDescent="0.3">
      <c r="A1" t="s">
        <v>169</v>
      </c>
    </row>
    <row r="2" spans="1:7" x14ac:dyDescent="0.3">
      <c r="A2" t="s">
        <v>170</v>
      </c>
    </row>
    <row r="3" spans="1:7" x14ac:dyDescent="0.3">
      <c r="A3" t="s">
        <v>171</v>
      </c>
      <c r="G3" t="s">
        <v>172</v>
      </c>
    </row>
    <row r="4" spans="1:7" x14ac:dyDescent="0.3">
      <c r="A4" t="s">
        <v>173</v>
      </c>
      <c r="G4" t="s">
        <v>174</v>
      </c>
    </row>
    <row r="5" spans="1:7" x14ac:dyDescent="0.3">
      <c r="A5" t="s">
        <v>175</v>
      </c>
    </row>
    <row r="6" spans="1:7" x14ac:dyDescent="0.3">
      <c r="A6" t="s">
        <v>176</v>
      </c>
    </row>
    <row r="7" spans="1:7" x14ac:dyDescent="0.3">
      <c r="A7" t="s">
        <v>177</v>
      </c>
    </row>
    <row r="8" spans="1:7" x14ac:dyDescent="0.3">
      <c r="A8" t="s">
        <v>178</v>
      </c>
    </row>
    <row r="9" spans="1:7" x14ac:dyDescent="0.3">
      <c r="A9" t="s">
        <v>179</v>
      </c>
    </row>
    <row r="10" spans="1:7" x14ac:dyDescent="0.3">
      <c r="A10" t="s">
        <v>180</v>
      </c>
    </row>
    <row r="11" spans="1:7" x14ac:dyDescent="0.3">
      <c r="A11" t="s">
        <v>181</v>
      </c>
    </row>
    <row r="12" spans="1:7" x14ac:dyDescent="0.3">
      <c r="A12" t="s">
        <v>182</v>
      </c>
    </row>
    <row r="13" spans="1:7" x14ac:dyDescent="0.3">
      <c r="A13" t="s">
        <v>183</v>
      </c>
    </row>
    <row r="14" spans="1:7" x14ac:dyDescent="0.3">
      <c r="A14" t="s">
        <v>184</v>
      </c>
    </row>
    <row r="15" spans="1:7" x14ac:dyDescent="0.3">
      <c r="A15" t="s">
        <v>185</v>
      </c>
    </row>
    <row r="16" spans="1:7" x14ac:dyDescent="0.3">
      <c r="A16" t="s">
        <v>186</v>
      </c>
    </row>
    <row r="17" spans="1:1" x14ac:dyDescent="0.3">
      <c r="A17" t="s">
        <v>187</v>
      </c>
    </row>
    <row r="18" spans="1:1" x14ac:dyDescent="0.3">
      <c r="A18" t="s">
        <v>188</v>
      </c>
    </row>
    <row r="19" spans="1:1" x14ac:dyDescent="0.3">
      <c r="A19" t="s">
        <v>189</v>
      </c>
    </row>
    <row r="20" spans="1:1" x14ac:dyDescent="0.3">
      <c r="A20" t="s">
        <v>190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285D-4B46-4745-88A8-71BAF502B019}">
  <dimension ref="A1:E21"/>
  <sheetViews>
    <sheetView workbookViewId="0">
      <selection activeCell="E6" sqref="E6"/>
    </sheetView>
  </sheetViews>
  <sheetFormatPr defaultRowHeight="14.4" x14ac:dyDescent="0.3"/>
  <sheetData>
    <row r="1" spans="1:5" x14ac:dyDescent="0.3">
      <c r="A1" s="53" t="s">
        <v>191</v>
      </c>
      <c r="B1" s="53" t="s">
        <v>192</v>
      </c>
      <c r="C1" s="53" t="s">
        <v>193</v>
      </c>
      <c r="D1" s="53" t="s">
        <v>110</v>
      </c>
      <c r="E1" s="53" t="s">
        <v>144</v>
      </c>
    </row>
    <row r="2" spans="1:5" x14ac:dyDescent="0.3">
      <c r="A2" s="54">
        <v>1</v>
      </c>
      <c r="B2" t="s">
        <v>194</v>
      </c>
      <c r="C2" t="s">
        <v>195</v>
      </c>
      <c r="D2">
        <v>50000</v>
      </c>
      <c r="E2">
        <v>30</v>
      </c>
    </row>
    <row r="3" spans="1:5" x14ac:dyDescent="0.3">
      <c r="A3" s="54">
        <v>2</v>
      </c>
      <c r="B3" t="s">
        <v>196</v>
      </c>
      <c r="C3" t="s">
        <v>197</v>
      </c>
      <c r="D3">
        <v>60000</v>
      </c>
      <c r="E3">
        <v>35</v>
      </c>
    </row>
    <row r="4" spans="1:5" x14ac:dyDescent="0.3">
      <c r="A4" s="54">
        <v>3</v>
      </c>
      <c r="B4" t="s">
        <v>198</v>
      </c>
      <c r="C4" t="s">
        <v>199</v>
      </c>
      <c r="D4">
        <v>75000</v>
      </c>
      <c r="E4">
        <v>40</v>
      </c>
    </row>
    <row r="5" spans="1:5" x14ac:dyDescent="0.3">
      <c r="A5" s="54">
        <v>4</v>
      </c>
      <c r="B5" t="s">
        <v>200</v>
      </c>
      <c r="C5" t="s">
        <v>201</v>
      </c>
      <c r="D5">
        <v>55000</v>
      </c>
      <c r="E5">
        <v>28</v>
      </c>
    </row>
    <row r="6" spans="1:5" x14ac:dyDescent="0.3">
      <c r="A6" s="54">
        <v>5</v>
      </c>
      <c r="B6" t="s">
        <v>202</v>
      </c>
      <c r="C6" t="s">
        <v>203</v>
      </c>
      <c r="D6">
        <v>80000</v>
      </c>
      <c r="E6">
        <v>45</v>
      </c>
    </row>
    <row r="7" spans="1:5" x14ac:dyDescent="0.3">
      <c r="A7" s="54">
        <v>6</v>
      </c>
      <c r="B7" t="s">
        <v>204</v>
      </c>
      <c r="C7" t="s">
        <v>205</v>
      </c>
      <c r="D7">
        <v>65000</v>
      </c>
      <c r="E7">
        <v>33</v>
      </c>
    </row>
    <row r="8" spans="1:5" x14ac:dyDescent="0.3">
      <c r="A8" s="54">
        <v>7</v>
      </c>
      <c r="B8" t="s">
        <v>206</v>
      </c>
      <c r="C8" t="s">
        <v>207</v>
      </c>
      <c r="D8">
        <v>70000</v>
      </c>
      <c r="E8">
        <v>38</v>
      </c>
    </row>
    <row r="9" spans="1:5" x14ac:dyDescent="0.3">
      <c r="A9" s="54">
        <v>8</v>
      </c>
      <c r="B9" t="s">
        <v>208</v>
      </c>
      <c r="C9" t="s">
        <v>209</v>
      </c>
      <c r="D9">
        <v>60000</v>
      </c>
      <c r="E9">
        <v>32</v>
      </c>
    </row>
    <row r="10" spans="1:5" x14ac:dyDescent="0.3">
      <c r="A10" s="54">
        <v>9</v>
      </c>
      <c r="B10" t="s">
        <v>210</v>
      </c>
      <c r="C10" t="s">
        <v>211</v>
      </c>
      <c r="D10">
        <v>85000</v>
      </c>
      <c r="E10">
        <v>42</v>
      </c>
    </row>
    <row r="11" spans="1:5" x14ac:dyDescent="0.3">
      <c r="A11" s="54">
        <v>10</v>
      </c>
      <c r="B11" t="s">
        <v>212</v>
      </c>
      <c r="C11" t="s">
        <v>213</v>
      </c>
      <c r="D11">
        <v>70000</v>
      </c>
      <c r="E11">
        <v>36</v>
      </c>
    </row>
    <row r="12" spans="1:5" x14ac:dyDescent="0.3">
      <c r="A12" s="54">
        <v>11</v>
      </c>
      <c r="B12" t="s">
        <v>214</v>
      </c>
      <c r="C12" t="s">
        <v>215</v>
      </c>
      <c r="D12">
        <v>60000</v>
      </c>
      <c r="E12">
        <v>31</v>
      </c>
    </row>
    <row r="13" spans="1:5" x14ac:dyDescent="0.3">
      <c r="A13" s="54">
        <v>12</v>
      </c>
      <c r="B13" t="s">
        <v>216</v>
      </c>
      <c r="C13" t="s">
        <v>217</v>
      </c>
      <c r="D13">
        <v>55000</v>
      </c>
      <c r="E13">
        <v>29</v>
      </c>
    </row>
    <row r="14" spans="1:5" x14ac:dyDescent="0.3">
      <c r="A14" s="54">
        <v>13</v>
      </c>
      <c r="B14" t="s">
        <v>218</v>
      </c>
      <c r="C14" t="s">
        <v>197</v>
      </c>
      <c r="D14">
        <v>90000</v>
      </c>
      <c r="E14">
        <v>48</v>
      </c>
    </row>
    <row r="15" spans="1:5" x14ac:dyDescent="0.3">
      <c r="A15" s="54">
        <v>14</v>
      </c>
      <c r="B15" t="s">
        <v>219</v>
      </c>
      <c r="C15" t="s">
        <v>220</v>
      </c>
      <c r="D15">
        <v>65000</v>
      </c>
      <c r="E15">
        <v>34</v>
      </c>
    </row>
    <row r="16" spans="1:5" x14ac:dyDescent="0.3">
      <c r="A16" s="54">
        <v>15</v>
      </c>
      <c r="B16" t="s">
        <v>221</v>
      </c>
      <c r="C16" t="s">
        <v>222</v>
      </c>
      <c r="D16">
        <v>75000</v>
      </c>
      <c r="E16">
        <v>39</v>
      </c>
    </row>
    <row r="17" spans="1:5" x14ac:dyDescent="0.3">
      <c r="A17" s="54">
        <v>16</v>
      </c>
      <c r="B17" t="s">
        <v>223</v>
      </c>
      <c r="C17" t="s">
        <v>224</v>
      </c>
      <c r="D17">
        <v>70000</v>
      </c>
      <c r="E17">
        <v>37</v>
      </c>
    </row>
    <row r="18" spans="1:5" x14ac:dyDescent="0.3">
      <c r="A18" s="54">
        <v>17</v>
      </c>
      <c r="B18" t="s">
        <v>225</v>
      </c>
      <c r="C18" t="s">
        <v>226</v>
      </c>
      <c r="D18">
        <v>80000</v>
      </c>
      <c r="E18">
        <v>41</v>
      </c>
    </row>
    <row r="19" spans="1:5" x14ac:dyDescent="0.3">
      <c r="A19" s="54">
        <v>18</v>
      </c>
      <c r="B19" t="s">
        <v>227</v>
      </c>
      <c r="C19" t="s">
        <v>228</v>
      </c>
      <c r="D19">
        <v>60000</v>
      </c>
      <c r="E19">
        <v>33</v>
      </c>
    </row>
    <row r="20" spans="1:5" x14ac:dyDescent="0.3">
      <c r="A20" s="54">
        <v>19</v>
      </c>
      <c r="B20" t="s">
        <v>229</v>
      </c>
      <c r="C20" t="s">
        <v>230</v>
      </c>
      <c r="D20">
        <v>70000</v>
      </c>
      <c r="E20">
        <v>38</v>
      </c>
    </row>
    <row r="21" spans="1:5" x14ac:dyDescent="0.3">
      <c r="A21" s="54">
        <v>20</v>
      </c>
      <c r="B21" t="s">
        <v>231</v>
      </c>
      <c r="C21" t="s">
        <v>232</v>
      </c>
      <c r="D21">
        <v>65000</v>
      </c>
      <c r="E21">
        <v>35</v>
      </c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1B01-385D-4910-B6DE-87BE04E2BECE}">
  <dimension ref="A1:A20"/>
  <sheetViews>
    <sheetView workbookViewId="0">
      <selection activeCell="I16" sqref="I16"/>
    </sheetView>
  </sheetViews>
  <sheetFormatPr defaultRowHeight="14.4" x14ac:dyDescent="0.3"/>
  <sheetData>
    <row r="1" spans="1:1" x14ac:dyDescent="0.3">
      <c r="A1" t="s">
        <v>233</v>
      </c>
    </row>
    <row r="2" spans="1:1" x14ac:dyDescent="0.3">
      <c r="A2" t="s">
        <v>234</v>
      </c>
    </row>
    <row r="3" spans="1:1" x14ac:dyDescent="0.3">
      <c r="A3" t="s">
        <v>235</v>
      </c>
    </row>
    <row r="4" spans="1:1" x14ac:dyDescent="0.3">
      <c r="A4" t="s">
        <v>236</v>
      </c>
    </row>
    <row r="5" spans="1:1" x14ac:dyDescent="0.3">
      <c r="A5" t="s">
        <v>237</v>
      </c>
    </row>
    <row r="6" spans="1:1" x14ac:dyDescent="0.3">
      <c r="A6" t="s">
        <v>238</v>
      </c>
    </row>
    <row r="7" spans="1:1" x14ac:dyDescent="0.3">
      <c r="A7" t="s">
        <v>239</v>
      </c>
    </row>
    <row r="8" spans="1:1" x14ac:dyDescent="0.3">
      <c r="A8" t="s">
        <v>240</v>
      </c>
    </row>
    <row r="9" spans="1:1" x14ac:dyDescent="0.3">
      <c r="A9" t="s">
        <v>241</v>
      </c>
    </row>
    <row r="10" spans="1:1" x14ac:dyDescent="0.3">
      <c r="A10" t="s">
        <v>242</v>
      </c>
    </row>
    <row r="11" spans="1:1" x14ac:dyDescent="0.3">
      <c r="A11" t="s">
        <v>243</v>
      </c>
    </row>
    <row r="12" spans="1:1" x14ac:dyDescent="0.3">
      <c r="A12" t="s">
        <v>244</v>
      </c>
    </row>
    <row r="13" spans="1:1" x14ac:dyDescent="0.3">
      <c r="A13" t="s">
        <v>245</v>
      </c>
    </row>
    <row r="14" spans="1:1" x14ac:dyDescent="0.3">
      <c r="A14" t="s">
        <v>246</v>
      </c>
    </row>
    <row r="15" spans="1:1" x14ac:dyDescent="0.3">
      <c r="A15" t="s">
        <v>247</v>
      </c>
    </row>
    <row r="16" spans="1:1" x14ac:dyDescent="0.3">
      <c r="A16" t="s">
        <v>248</v>
      </c>
    </row>
    <row r="17" spans="1:1" x14ac:dyDescent="0.3">
      <c r="A17" t="s">
        <v>249</v>
      </c>
    </row>
    <row r="18" spans="1:1" x14ac:dyDescent="0.3">
      <c r="A18" t="s">
        <v>250</v>
      </c>
    </row>
    <row r="19" spans="1:1" x14ac:dyDescent="0.3">
      <c r="A19" t="s">
        <v>251</v>
      </c>
    </row>
    <row r="20" spans="1:1" x14ac:dyDescent="0.3">
      <c r="A20" t="s">
        <v>252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4AA7-9A0C-444F-903D-D4FC461C1303}">
  <dimension ref="A1:E21"/>
  <sheetViews>
    <sheetView workbookViewId="0">
      <selection activeCell="K8" sqref="K8"/>
    </sheetView>
  </sheetViews>
  <sheetFormatPr defaultRowHeight="14.4" x14ac:dyDescent="0.3"/>
  <sheetData>
    <row r="1" spans="1:5" x14ac:dyDescent="0.3">
      <c r="A1" s="53" t="s">
        <v>191</v>
      </c>
      <c r="B1" s="53" t="s">
        <v>192</v>
      </c>
      <c r="C1" s="53" t="s">
        <v>193</v>
      </c>
      <c r="D1" s="53" t="s">
        <v>110</v>
      </c>
      <c r="E1" s="53" t="s">
        <v>144</v>
      </c>
    </row>
    <row r="2" spans="1:5" x14ac:dyDescent="0.3">
      <c r="A2" s="54">
        <v>1</v>
      </c>
      <c r="B2" t="s">
        <v>253</v>
      </c>
      <c r="C2" t="s">
        <v>205</v>
      </c>
      <c r="D2">
        <v>50000</v>
      </c>
      <c r="E2">
        <v>30</v>
      </c>
    </row>
    <row r="3" spans="1:5" x14ac:dyDescent="0.3">
      <c r="A3" s="54">
        <v>2</v>
      </c>
      <c r="B3" t="s">
        <v>254</v>
      </c>
      <c r="C3" t="s">
        <v>255</v>
      </c>
      <c r="D3">
        <v>60000</v>
      </c>
      <c r="E3">
        <v>35</v>
      </c>
    </row>
    <row r="4" spans="1:5" x14ac:dyDescent="0.3">
      <c r="A4" s="54">
        <v>3</v>
      </c>
      <c r="B4" t="s">
        <v>256</v>
      </c>
      <c r="C4" t="s">
        <v>199</v>
      </c>
      <c r="D4">
        <v>75000</v>
      </c>
      <c r="E4">
        <v>40</v>
      </c>
    </row>
    <row r="5" spans="1:5" x14ac:dyDescent="0.3">
      <c r="A5" s="54">
        <v>4</v>
      </c>
      <c r="B5" t="s">
        <v>257</v>
      </c>
      <c r="C5" t="s">
        <v>258</v>
      </c>
      <c r="D5">
        <v>55000</v>
      </c>
      <c r="E5">
        <v>28</v>
      </c>
    </row>
    <row r="6" spans="1:5" x14ac:dyDescent="0.3">
      <c r="A6" s="54">
        <v>5</v>
      </c>
      <c r="B6" t="s">
        <v>208</v>
      </c>
      <c r="C6" t="s">
        <v>195</v>
      </c>
      <c r="D6">
        <v>80000</v>
      </c>
      <c r="E6">
        <v>45</v>
      </c>
    </row>
    <row r="7" spans="1:5" x14ac:dyDescent="0.3">
      <c r="A7" s="54">
        <v>6</v>
      </c>
      <c r="B7" t="s">
        <v>259</v>
      </c>
      <c r="C7" t="s">
        <v>209</v>
      </c>
      <c r="D7">
        <v>65000</v>
      </c>
      <c r="E7">
        <v>33</v>
      </c>
    </row>
    <row r="8" spans="1:5" x14ac:dyDescent="0.3">
      <c r="A8" s="54">
        <v>7</v>
      </c>
      <c r="B8" t="s">
        <v>260</v>
      </c>
      <c r="C8" t="s">
        <v>261</v>
      </c>
      <c r="D8">
        <v>70000</v>
      </c>
      <c r="E8">
        <v>38</v>
      </c>
    </row>
    <row r="9" spans="1:5" x14ac:dyDescent="0.3">
      <c r="A9" s="54">
        <v>8</v>
      </c>
      <c r="B9" t="s">
        <v>262</v>
      </c>
      <c r="C9" t="s">
        <v>215</v>
      </c>
      <c r="D9">
        <v>60000</v>
      </c>
      <c r="E9">
        <v>32</v>
      </c>
    </row>
    <row r="10" spans="1:5" x14ac:dyDescent="0.3">
      <c r="A10" s="54">
        <v>9</v>
      </c>
      <c r="B10" t="s">
        <v>263</v>
      </c>
      <c r="C10" t="s">
        <v>228</v>
      </c>
      <c r="D10">
        <v>85000</v>
      </c>
      <c r="E10">
        <v>42</v>
      </c>
    </row>
    <row r="11" spans="1:5" x14ac:dyDescent="0.3">
      <c r="A11" s="54">
        <v>10</v>
      </c>
      <c r="B11" t="s">
        <v>264</v>
      </c>
      <c r="C11" t="s">
        <v>265</v>
      </c>
      <c r="D11">
        <v>70000</v>
      </c>
      <c r="E11">
        <v>36</v>
      </c>
    </row>
    <row r="12" spans="1:5" x14ac:dyDescent="0.3">
      <c r="A12" s="54">
        <v>11</v>
      </c>
      <c r="B12" t="s">
        <v>266</v>
      </c>
      <c r="C12" t="s">
        <v>220</v>
      </c>
      <c r="D12">
        <v>60000</v>
      </c>
      <c r="E12">
        <v>31</v>
      </c>
    </row>
    <row r="13" spans="1:5" x14ac:dyDescent="0.3">
      <c r="A13" s="54">
        <v>12</v>
      </c>
      <c r="B13" t="s">
        <v>267</v>
      </c>
      <c r="C13" t="s">
        <v>207</v>
      </c>
      <c r="D13">
        <v>55000</v>
      </c>
      <c r="E13">
        <v>29</v>
      </c>
    </row>
    <row r="14" spans="1:5" x14ac:dyDescent="0.3">
      <c r="A14" s="54">
        <v>13</v>
      </c>
      <c r="B14" t="s">
        <v>268</v>
      </c>
      <c r="C14" t="s">
        <v>197</v>
      </c>
      <c r="D14">
        <v>90000</v>
      </c>
      <c r="E14">
        <v>48</v>
      </c>
    </row>
    <row r="15" spans="1:5" x14ac:dyDescent="0.3">
      <c r="A15" s="54">
        <v>14</v>
      </c>
      <c r="B15" t="s">
        <v>269</v>
      </c>
      <c r="C15" t="s">
        <v>203</v>
      </c>
      <c r="D15">
        <v>65000</v>
      </c>
      <c r="E15">
        <v>34</v>
      </c>
    </row>
    <row r="16" spans="1:5" x14ac:dyDescent="0.3">
      <c r="A16" s="54">
        <v>15</v>
      </c>
      <c r="B16" t="s">
        <v>270</v>
      </c>
      <c r="C16" t="s">
        <v>205</v>
      </c>
      <c r="D16">
        <v>75000</v>
      </c>
      <c r="E16">
        <v>39</v>
      </c>
    </row>
    <row r="17" spans="1:5" x14ac:dyDescent="0.3">
      <c r="A17" s="54">
        <v>16</v>
      </c>
      <c r="B17" t="s">
        <v>271</v>
      </c>
      <c r="C17" t="s">
        <v>199</v>
      </c>
      <c r="D17">
        <v>70000</v>
      </c>
      <c r="E17">
        <v>37</v>
      </c>
    </row>
    <row r="18" spans="1:5" x14ac:dyDescent="0.3">
      <c r="A18" s="54">
        <v>17</v>
      </c>
      <c r="B18" t="s">
        <v>272</v>
      </c>
      <c r="C18" t="s">
        <v>213</v>
      </c>
      <c r="D18">
        <v>80000</v>
      </c>
      <c r="E18">
        <v>41</v>
      </c>
    </row>
    <row r="19" spans="1:5" x14ac:dyDescent="0.3">
      <c r="A19" s="54">
        <v>18</v>
      </c>
      <c r="B19" t="s">
        <v>273</v>
      </c>
      <c r="C19" t="s">
        <v>274</v>
      </c>
      <c r="D19">
        <v>60000</v>
      </c>
      <c r="E19">
        <v>33</v>
      </c>
    </row>
    <row r="20" spans="1:5" x14ac:dyDescent="0.3">
      <c r="A20" s="54">
        <v>19</v>
      </c>
      <c r="B20" t="s">
        <v>275</v>
      </c>
      <c r="C20" t="s">
        <v>276</v>
      </c>
      <c r="D20">
        <v>70000</v>
      </c>
      <c r="E20">
        <v>38</v>
      </c>
    </row>
    <row r="21" spans="1:5" x14ac:dyDescent="0.3">
      <c r="A21" s="54">
        <v>20</v>
      </c>
      <c r="B21" t="s">
        <v>277</v>
      </c>
      <c r="C21" t="s">
        <v>228</v>
      </c>
      <c r="D21">
        <v>65000</v>
      </c>
      <c r="E2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4914C-2900-4716-8715-F6F552E803D7}">
  <dimension ref="A1:D29"/>
  <sheetViews>
    <sheetView workbookViewId="0">
      <selection activeCell="H16" sqref="H16"/>
    </sheetView>
  </sheetViews>
  <sheetFormatPr defaultRowHeight="14.4" x14ac:dyDescent="0.3"/>
  <cols>
    <col min="1" max="1" width="8.109375" style="55" customWidth="1"/>
    <col min="2" max="2" width="69.109375" customWidth="1"/>
  </cols>
  <sheetData>
    <row r="1" spans="1:4" x14ac:dyDescent="0.3">
      <c r="B1" s="6" t="s">
        <v>278</v>
      </c>
    </row>
    <row r="2" spans="1:4" x14ac:dyDescent="0.3">
      <c r="A2" s="56"/>
      <c r="B2" s="57" t="s">
        <v>279</v>
      </c>
      <c r="C2" s="58"/>
    </row>
    <row r="3" spans="1:4" x14ac:dyDescent="0.3">
      <c r="A3" s="59">
        <v>1</v>
      </c>
      <c r="B3" s="6" t="s">
        <v>280</v>
      </c>
    </row>
    <row r="4" spans="1:4" x14ac:dyDescent="0.3">
      <c r="A4" s="60"/>
      <c r="B4" s="35" t="s">
        <v>1</v>
      </c>
      <c r="C4" s="35" t="s">
        <v>2</v>
      </c>
    </row>
    <row r="5" spans="1:4" x14ac:dyDescent="0.3">
      <c r="A5" s="59"/>
      <c r="B5" s="1" t="s">
        <v>281</v>
      </c>
      <c r="C5" s="1">
        <v>200</v>
      </c>
    </row>
    <row r="6" spans="1:4" x14ac:dyDescent="0.3">
      <c r="A6" s="59"/>
      <c r="B6" s="1" t="s">
        <v>282</v>
      </c>
      <c r="C6" s="1">
        <v>120</v>
      </c>
    </row>
    <row r="7" spans="1:4" x14ac:dyDescent="0.3">
      <c r="A7" s="59"/>
      <c r="B7" s="1" t="s">
        <v>283</v>
      </c>
      <c r="C7" s="1">
        <v>156</v>
      </c>
    </row>
    <row r="8" spans="1:4" x14ac:dyDescent="0.3">
      <c r="A8" s="59"/>
      <c r="B8" s="1" t="s">
        <v>284</v>
      </c>
      <c r="C8" s="1">
        <v>190</v>
      </c>
    </row>
    <row r="9" spans="1:4" x14ac:dyDescent="0.3">
      <c r="A9" s="59"/>
      <c r="B9" s="1" t="s">
        <v>285</v>
      </c>
      <c r="C9" s="1">
        <v>320</v>
      </c>
    </row>
    <row r="10" spans="1:4" x14ac:dyDescent="0.3">
      <c r="A10" s="59"/>
      <c r="B10" s="1" t="s">
        <v>286</v>
      </c>
      <c r="C10" s="1">
        <v>89</v>
      </c>
    </row>
    <row r="11" spans="1:4" ht="15" thickBot="1" x14ac:dyDescent="0.35"/>
    <row r="12" spans="1:4" ht="15" thickBot="1" x14ac:dyDescent="0.35">
      <c r="A12" s="59">
        <v>1.1000000000000001</v>
      </c>
      <c r="B12" s="6" t="s">
        <v>287</v>
      </c>
      <c r="C12" s="61">
        <f>MAX(C5:C10)</f>
        <v>320</v>
      </c>
      <c r="D12" s="6"/>
    </row>
    <row r="13" spans="1:4" ht="15" thickBot="1" x14ac:dyDescent="0.35">
      <c r="A13" s="59">
        <v>1.2</v>
      </c>
      <c r="B13" s="6" t="s">
        <v>288</v>
      </c>
      <c r="C13" s="61">
        <f>MIN(C5:C10)</f>
        <v>89</v>
      </c>
      <c r="D13" s="6"/>
    </row>
    <row r="14" spans="1:4" ht="15" thickBot="1" x14ac:dyDescent="0.35">
      <c r="A14" s="59">
        <v>1.3</v>
      </c>
      <c r="B14" s="6" t="s">
        <v>289</v>
      </c>
      <c r="C14" s="61">
        <f>AVERAGE(C5:C8)</f>
        <v>166.5</v>
      </c>
      <c r="D14" s="6"/>
    </row>
    <row r="16" spans="1:4" x14ac:dyDescent="0.3">
      <c r="B16" s="6"/>
    </row>
    <row r="17" spans="1:2" x14ac:dyDescent="0.3">
      <c r="A17" s="59"/>
      <c r="B17" s="6"/>
    </row>
    <row r="18" spans="1:2" x14ac:dyDescent="0.3">
      <c r="A18" s="59"/>
      <c r="B18" s="5"/>
    </row>
    <row r="19" spans="1:2" x14ac:dyDescent="0.3">
      <c r="A19" s="59"/>
      <c r="B19" s="6"/>
    </row>
    <row r="20" spans="1:2" x14ac:dyDescent="0.3">
      <c r="B20" s="6"/>
    </row>
    <row r="21" spans="1:2" x14ac:dyDescent="0.3">
      <c r="A21" s="59"/>
      <c r="B21" s="6"/>
    </row>
    <row r="22" spans="1:2" x14ac:dyDescent="0.3">
      <c r="A22" s="59"/>
      <c r="B22" s="6"/>
    </row>
    <row r="23" spans="1:2" x14ac:dyDescent="0.3">
      <c r="A23" s="59"/>
      <c r="B23" s="6"/>
    </row>
    <row r="24" spans="1:2" x14ac:dyDescent="0.3">
      <c r="A24" s="59"/>
      <c r="B24" s="62"/>
    </row>
    <row r="25" spans="1:2" x14ac:dyDescent="0.3">
      <c r="A25" s="59"/>
      <c r="B25" s="6"/>
    </row>
    <row r="26" spans="1:2" x14ac:dyDescent="0.3">
      <c r="A26" s="59"/>
      <c r="B26" s="62"/>
    </row>
    <row r="27" spans="1:2" x14ac:dyDescent="0.3">
      <c r="A27" s="59"/>
      <c r="B27" s="6"/>
    </row>
    <row r="28" spans="1:2" x14ac:dyDescent="0.3">
      <c r="A28" s="59"/>
      <c r="B28" s="62"/>
    </row>
    <row r="29" spans="1:2" x14ac:dyDescent="0.3">
      <c r="A29" s="59"/>
      <c r="B29" s="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5BADD-4C47-4333-8C6F-73D38EE4D4E4}">
  <dimension ref="A1:I29"/>
  <sheetViews>
    <sheetView workbookViewId="0">
      <selection activeCell="L19" sqref="L19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9" x14ac:dyDescent="0.3">
      <c r="A1" s="6"/>
      <c r="B1" s="6" t="s">
        <v>290</v>
      </c>
    </row>
    <row r="3" spans="1:9" x14ac:dyDescent="0.3">
      <c r="A3" s="6"/>
      <c r="B3" s="6" t="s">
        <v>291</v>
      </c>
    </row>
    <row r="4" spans="1:9" x14ac:dyDescent="0.3">
      <c r="A4" s="6"/>
      <c r="B4" s="6" t="s">
        <v>292</v>
      </c>
    </row>
    <row r="5" spans="1:9" x14ac:dyDescent="0.3">
      <c r="A5" s="6"/>
      <c r="B5" s="6" t="s">
        <v>293</v>
      </c>
    </row>
    <row r="6" spans="1:9" x14ac:dyDescent="0.3">
      <c r="A6" s="6"/>
      <c r="B6" s="6"/>
    </row>
    <row r="7" spans="1:9" x14ac:dyDescent="0.3">
      <c r="C7" s="6" t="s">
        <v>294</v>
      </c>
      <c r="D7" s="6" t="s">
        <v>295</v>
      </c>
      <c r="E7" s="6" t="s">
        <v>296</v>
      </c>
      <c r="F7" s="6" t="s">
        <v>297</v>
      </c>
    </row>
    <row r="8" spans="1:9" x14ac:dyDescent="0.3">
      <c r="A8" s="6"/>
      <c r="B8" s="6" t="s">
        <v>298</v>
      </c>
      <c r="C8" s="6">
        <v>95</v>
      </c>
      <c r="D8" s="6">
        <v>56</v>
      </c>
      <c r="E8" s="6">
        <v>14</v>
      </c>
      <c r="F8" s="6">
        <v>66</v>
      </c>
      <c r="G8" s="8" t="str">
        <f>IF(H8&lt;50,"Fail","Pass")</f>
        <v>Fail</v>
      </c>
      <c r="H8">
        <f>MIN(C8:F8)</f>
        <v>14</v>
      </c>
      <c r="I8" s="6"/>
    </row>
    <row r="9" spans="1:9" x14ac:dyDescent="0.3">
      <c r="A9" s="6"/>
      <c r="B9" s="6" t="s">
        <v>299</v>
      </c>
      <c r="C9" s="6">
        <v>54</v>
      </c>
      <c r="D9" s="6">
        <v>89</v>
      </c>
      <c r="E9" s="6">
        <v>53</v>
      </c>
      <c r="F9" s="6">
        <v>66</v>
      </c>
      <c r="G9" s="8" t="str">
        <f t="shared" ref="G9:G11" si="0">IF(H9&lt;50,"Fail","Pass")</f>
        <v>Pass</v>
      </c>
      <c r="H9">
        <f t="shared" ref="H9:H11" si="1">MIN(C9:F9)</f>
        <v>53</v>
      </c>
      <c r="I9" s="6"/>
    </row>
    <row r="10" spans="1:9" x14ac:dyDescent="0.3">
      <c r="A10" s="6"/>
      <c r="B10" s="6" t="s">
        <v>300</v>
      </c>
      <c r="C10" s="6">
        <v>100</v>
      </c>
      <c r="D10" s="6">
        <v>69</v>
      </c>
      <c r="E10" s="6">
        <v>78</v>
      </c>
      <c r="F10" s="6">
        <v>53</v>
      </c>
      <c r="G10" s="8" t="str">
        <f t="shared" si="0"/>
        <v>Pass</v>
      </c>
      <c r="H10">
        <f t="shared" si="1"/>
        <v>53</v>
      </c>
      <c r="I10" s="6"/>
    </row>
    <row r="11" spans="1:9" x14ac:dyDescent="0.3">
      <c r="A11" s="6"/>
      <c r="B11" s="6" t="s">
        <v>127</v>
      </c>
      <c r="C11" s="6">
        <v>49</v>
      </c>
      <c r="D11" s="6">
        <v>70</v>
      </c>
      <c r="E11" s="6">
        <v>87</v>
      </c>
      <c r="F11" s="6">
        <v>100</v>
      </c>
      <c r="G11" s="8" t="str">
        <f t="shared" si="0"/>
        <v>Fail</v>
      </c>
      <c r="H11">
        <f t="shared" si="1"/>
        <v>49</v>
      </c>
      <c r="I11" s="6"/>
    </row>
    <row r="13" spans="1:9" x14ac:dyDescent="0.3">
      <c r="A13" s="6"/>
      <c r="B13" s="34"/>
    </row>
    <row r="14" spans="1:9" x14ac:dyDescent="0.3">
      <c r="A14" s="6"/>
      <c r="B14" s="34"/>
    </row>
    <row r="15" spans="1:9" x14ac:dyDescent="0.3">
      <c r="A15" s="6"/>
      <c r="B15" s="34"/>
    </row>
    <row r="16" spans="1:9" x14ac:dyDescent="0.3">
      <c r="A16" s="6"/>
      <c r="B16" s="34"/>
    </row>
    <row r="17" spans="1:6" x14ac:dyDescent="0.3">
      <c r="A17" s="6"/>
      <c r="B17" s="34"/>
    </row>
    <row r="18" spans="1:6" x14ac:dyDescent="0.3">
      <c r="A18" s="6"/>
      <c r="B18" s="34"/>
    </row>
    <row r="19" spans="1:6" x14ac:dyDescent="0.3">
      <c r="A19" s="6"/>
      <c r="B19" s="34"/>
    </row>
    <row r="20" spans="1:6" x14ac:dyDescent="0.3">
      <c r="A20" s="6"/>
      <c r="B20" s="34"/>
    </row>
    <row r="21" spans="1:6" x14ac:dyDescent="0.3">
      <c r="A21" s="6"/>
    </row>
    <row r="22" spans="1:6" x14ac:dyDescent="0.3">
      <c r="A22" s="6"/>
      <c r="B22" s="41"/>
    </row>
    <row r="23" spans="1:6" x14ac:dyDescent="0.3">
      <c r="B23" s="41"/>
    </row>
    <row r="24" spans="1:6" x14ac:dyDescent="0.3">
      <c r="B24" s="5"/>
    </row>
    <row r="25" spans="1:6" x14ac:dyDescent="0.3">
      <c r="A25" s="6"/>
      <c r="B25" s="34"/>
    </row>
    <row r="26" spans="1:6" x14ac:dyDescent="0.3">
      <c r="B26" s="41"/>
    </row>
    <row r="27" spans="1:6" x14ac:dyDescent="0.3">
      <c r="A27" s="6"/>
      <c r="B27" s="34"/>
      <c r="F27" s="34"/>
    </row>
    <row r="28" spans="1:6" x14ac:dyDescent="0.3">
      <c r="A28" s="6"/>
      <c r="B28" s="34"/>
      <c r="F28" s="34"/>
    </row>
    <row r="29" spans="1:6" x14ac:dyDescent="0.3">
      <c r="A29" s="6"/>
      <c r="B29" s="34"/>
      <c r="F29" s="3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0A2E-BFF5-40EC-AF14-CD6A211B667E}">
  <dimension ref="A1:E20"/>
  <sheetViews>
    <sheetView workbookViewId="0">
      <selection activeCell="M16" sqref="M16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5" x14ac:dyDescent="0.3">
      <c r="A1" s="6"/>
      <c r="B1" s="6" t="s">
        <v>301</v>
      </c>
    </row>
    <row r="2" spans="1:5" x14ac:dyDescent="0.3">
      <c r="A2" s="6"/>
      <c r="B2" s="34" t="s">
        <v>302</v>
      </c>
    </row>
    <row r="4" spans="1:5" x14ac:dyDescent="0.3">
      <c r="C4" s="6" t="s">
        <v>294</v>
      </c>
    </row>
    <row r="5" spans="1:5" x14ac:dyDescent="0.3">
      <c r="A5" s="6"/>
      <c r="B5" s="6" t="s">
        <v>303</v>
      </c>
      <c r="C5" s="6">
        <v>95</v>
      </c>
    </row>
    <row r="6" spans="1:5" x14ac:dyDescent="0.3">
      <c r="A6" s="6"/>
      <c r="B6" s="6" t="s">
        <v>299</v>
      </c>
      <c r="C6" s="6">
        <v>54</v>
      </c>
    </row>
    <row r="7" spans="1:5" x14ac:dyDescent="0.3">
      <c r="A7" s="6"/>
      <c r="B7" s="6" t="s">
        <v>300</v>
      </c>
      <c r="C7" s="6">
        <v>100</v>
      </c>
    </row>
    <row r="8" spans="1:5" x14ac:dyDescent="0.3">
      <c r="A8" s="6"/>
      <c r="B8" s="6" t="s">
        <v>127</v>
      </c>
      <c r="C8" s="6">
        <v>49</v>
      </c>
    </row>
    <row r="9" spans="1:5" x14ac:dyDescent="0.3">
      <c r="A9" s="6"/>
      <c r="B9" s="6" t="s">
        <v>304</v>
      </c>
      <c r="C9" s="6">
        <v>67</v>
      </c>
    </row>
    <row r="10" spans="1:5" x14ac:dyDescent="0.3">
      <c r="A10" s="6"/>
      <c r="B10" s="6" t="s">
        <v>305</v>
      </c>
      <c r="C10" s="6">
        <v>45</v>
      </c>
    </row>
    <row r="11" spans="1:5" x14ac:dyDescent="0.3">
      <c r="A11" s="6"/>
      <c r="B11" s="6" t="s">
        <v>306</v>
      </c>
      <c r="C11" s="6">
        <v>77</v>
      </c>
    </row>
    <row r="12" spans="1:5" x14ac:dyDescent="0.3">
      <c r="C12" s="8" t="str">
        <f>IF(D12&gt;99,"Easy","Not Easy")</f>
        <v>Easy</v>
      </c>
      <c r="D12">
        <f>MAX(C5:C11)</f>
        <v>100</v>
      </c>
      <c r="E12" s="6"/>
    </row>
    <row r="15" spans="1:5" x14ac:dyDescent="0.3">
      <c r="B15" s="41"/>
    </row>
    <row r="16" spans="1:5" x14ac:dyDescent="0.3">
      <c r="A16" s="6"/>
      <c r="B16" s="34"/>
      <c r="D16" s="6"/>
    </row>
    <row r="17" spans="1:2" x14ac:dyDescent="0.3">
      <c r="B17" s="41"/>
    </row>
    <row r="18" spans="1:2" x14ac:dyDescent="0.3">
      <c r="A18" s="6"/>
      <c r="B18" s="34"/>
    </row>
    <row r="19" spans="1:2" x14ac:dyDescent="0.3">
      <c r="A19" s="6"/>
      <c r="B19" s="34"/>
    </row>
    <row r="20" spans="1:2" x14ac:dyDescent="0.3">
      <c r="A20" s="6"/>
      <c r="B20" s="3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AF3-FBFC-4D9D-98A4-0289C96AC3FC}">
  <dimension ref="A1:I996"/>
  <sheetViews>
    <sheetView topLeftCell="A4" zoomScale="96" workbookViewId="0">
      <selection activeCell="L17" sqref="L17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5" t="s">
        <v>307</v>
      </c>
      <c r="H1" s="41"/>
    </row>
    <row r="2" spans="1:8" x14ac:dyDescent="0.3">
      <c r="A2" s="6" t="s">
        <v>308</v>
      </c>
      <c r="H2" s="34"/>
    </row>
    <row r="3" spans="1:8" x14ac:dyDescent="0.3">
      <c r="A3" s="62" t="s">
        <v>309</v>
      </c>
      <c r="B3" s="6" t="s">
        <v>310</v>
      </c>
      <c r="H3" s="34"/>
    </row>
    <row r="4" spans="1:8" x14ac:dyDescent="0.3">
      <c r="A4" s="6" t="s">
        <v>311</v>
      </c>
      <c r="B4" s="6" t="s">
        <v>312</v>
      </c>
      <c r="H4" s="34"/>
    </row>
    <row r="5" spans="1:8" x14ac:dyDescent="0.3">
      <c r="A5" s="62" t="s">
        <v>313</v>
      </c>
      <c r="B5" s="6" t="s">
        <v>314</v>
      </c>
      <c r="H5" s="34"/>
    </row>
    <row r="6" spans="1:8" x14ac:dyDescent="0.3">
      <c r="A6" s="6" t="s">
        <v>315</v>
      </c>
      <c r="B6" s="6" t="s">
        <v>316</v>
      </c>
      <c r="H6" s="63"/>
    </row>
    <row r="7" spans="1:8" x14ac:dyDescent="0.3">
      <c r="A7" s="6" t="s">
        <v>317</v>
      </c>
      <c r="B7" s="6" t="s">
        <v>318</v>
      </c>
      <c r="H7" s="64"/>
    </row>
    <row r="8" spans="1:8" x14ac:dyDescent="0.3">
      <c r="A8" s="6" t="s">
        <v>319</v>
      </c>
      <c r="B8" s="6" t="s">
        <v>320</v>
      </c>
      <c r="H8" s="34"/>
    </row>
    <row r="9" spans="1:8" x14ac:dyDescent="0.3">
      <c r="H9" s="34"/>
    </row>
    <row r="10" spans="1:8" x14ac:dyDescent="0.3">
      <c r="A10" s="38" t="s">
        <v>321</v>
      </c>
      <c r="H10" s="64"/>
    </row>
    <row r="11" spans="1:8" x14ac:dyDescent="0.3">
      <c r="A11" s="6">
        <v>2</v>
      </c>
      <c r="B11" s="6" t="s">
        <v>322</v>
      </c>
      <c r="C11" s="6">
        <v>3</v>
      </c>
      <c r="D11" s="8">
        <f>A11+C11</f>
        <v>5</v>
      </c>
      <c r="H11" s="63"/>
    </row>
    <row r="12" spans="1:8" x14ac:dyDescent="0.3">
      <c r="A12" s="6">
        <v>3</v>
      </c>
      <c r="B12" s="6" t="s">
        <v>323</v>
      </c>
      <c r="C12" s="6">
        <v>1</v>
      </c>
      <c r="D12" s="8">
        <f>A12-C12</f>
        <v>2</v>
      </c>
      <c r="H12" s="34"/>
    </row>
    <row r="13" spans="1:8" x14ac:dyDescent="0.3">
      <c r="A13" s="6">
        <v>5</v>
      </c>
      <c r="B13" s="6" t="s">
        <v>324</v>
      </c>
      <c r="C13" s="6">
        <v>10</v>
      </c>
      <c r="D13" s="8">
        <f>A13*C13</f>
        <v>50</v>
      </c>
      <c r="H13" s="34"/>
    </row>
    <row r="14" spans="1:8" x14ac:dyDescent="0.3">
      <c r="A14" s="6">
        <v>10</v>
      </c>
      <c r="B14" s="6" t="s">
        <v>325</v>
      </c>
      <c r="C14" s="6">
        <v>2</v>
      </c>
      <c r="D14" s="8">
        <f>A14/C14</f>
        <v>5</v>
      </c>
      <c r="H14" s="34"/>
    </row>
    <row r="15" spans="1:8" x14ac:dyDescent="0.3">
      <c r="H15" s="64"/>
    </row>
    <row r="16" spans="1:8" x14ac:dyDescent="0.3">
      <c r="H16" s="63"/>
    </row>
    <row r="17" spans="1:8" ht="15.75" customHeight="1" x14ac:dyDescent="0.3">
      <c r="A17" s="38" t="s">
        <v>326</v>
      </c>
      <c r="H17" s="63"/>
    </row>
    <row r="18" spans="1:8" ht="15.75" customHeight="1" x14ac:dyDescent="0.3">
      <c r="A18" s="5">
        <v>10</v>
      </c>
      <c r="B18" s="6" t="s">
        <v>327</v>
      </c>
      <c r="C18" s="6">
        <v>100</v>
      </c>
      <c r="D18" s="65">
        <f>0.1*100%</f>
        <v>0.1</v>
      </c>
      <c r="H18" s="34"/>
    </row>
    <row r="19" spans="1:8" ht="15.75" customHeight="1" x14ac:dyDescent="0.3">
      <c r="A19" s="5">
        <v>3</v>
      </c>
      <c r="B19" s="6" t="s">
        <v>327</v>
      </c>
      <c r="C19" s="6">
        <v>6</v>
      </c>
      <c r="D19" s="65">
        <f>0.5</f>
        <v>0.5</v>
      </c>
      <c r="H19" s="34"/>
    </row>
    <row r="20" spans="1:8" ht="15.75" customHeight="1" x14ac:dyDescent="0.3">
      <c r="A20" s="5">
        <v>1.5</v>
      </c>
      <c r="B20" s="6" t="s">
        <v>327</v>
      </c>
      <c r="C20" s="6">
        <v>1</v>
      </c>
      <c r="D20" s="65">
        <f>1.5*100%</f>
        <v>1.5</v>
      </c>
      <c r="H20" s="64"/>
    </row>
    <row r="21" spans="1:8" ht="15.75" customHeight="1" x14ac:dyDescent="0.3">
      <c r="H21" s="34"/>
    </row>
    <row r="22" spans="1:8" ht="15.75" customHeight="1" x14ac:dyDescent="0.3">
      <c r="A22" s="38" t="s">
        <v>328</v>
      </c>
      <c r="H22" s="63"/>
    </row>
    <row r="23" spans="1:8" ht="15.75" customHeight="1" x14ac:dyDescent="0.3">
      <c r="A23" s="5" t="s">
        <v>329</v>
      </c>
      <c r="B23" s="5" t="s">
        <v>330</v>
      </c>
      <c r="C23" s="5" t="s">
        <v>331</v>
      </c>
      <c r="D23" s="5" t="s">
        <v>332</v>
      </c>
      <c r="E23" s="5"/>
      <c r="H23" s="34"/>
    </row>
    <row r="24" spans="1:8" ht="15.75" customHeight="1" x14ac:dyDescent="0.3">
      <c r="A24" s="6" t="s">
        <v>333</v>
      </c>
      <c r="B24" s="6">
        <v>100</v>
      </c>
      <c r="C24" s="6">
        <v>150</v>
      </c>
      <c r="D24" s="65">
        <f>(C24-B24)%</f>
        <v>0.5</v>
      </c>
      <c r="E24" s="66"/>
      <c r="H24" s="34"/>
    </row>
    <row r="25" spans="1:8" ht="15.75" customHeight="1" x14ac:dyDescent="0.3">
      <c r="A25" s="6" t="s">
        <v>334</v>
      </c>
      <c r="B25" s="6">
        <v>100</v>
      </c>
      <c r="C25" s="6">
        <v>50</v>
      </c>
      <c r="D25" s="65">
        <f>(C25-B25)%</f>
        <v>-0.5</v>
      </c>
      <c r="E25" s="66"/>
      <c r="H25" s="34"/>
    </row>
    <row r="26" spans="1:8" ht="15.75" customHeight="1" x14ac:dyDescent="0.3">
      <c r="H26" s="34"/>
    </row>
    <row r="27" spans="1:8" ht="23.4" x14ac:dyDescent="0.45">
      <c r="A27" s="67" t="s">
        <v>335</v>
      </c>
      <c r="H27" s="34"/>
    </row>
    <row r="28" spans="1:8" ht="15.75" customHeight="1" x14ac:dyDescent="0.3">
      <c r="H28" s="41"/>
    </row>
    <row r="29" spans="1:8" ht="15.75" customHeight="1" x14ac:dyDescent="0.3">
      <c r="H29" s="63"/>
    </row>
    <row r="30" spans="1:8" ht="15.75" customHeight="1" x14ac:dyDescent="0.3">
      <c r="H30" s="34"/>
    </row>
    <row r="31" spans="1:8" ht="15.75" customHeight="1" x14ac:dyDescent="0.3">
      <c r="H31" s="64"/>
    </row>
    <row r="32" spans="1:8" ht="15.75" customHeight="1" x14ac:dyDescent="0.3">
      <c r="H32" s="34"/>
    </row>
    <row r="33" spans="8:8" ht="15.75" customHeight="1" x14ac:dyDescent="0.3">
      <c r="H33" s="34"/>
    </row>
    <row r="34" spans="8:8" ht="15.75" customHeight="1" x14ac:dyDescent="0.3"/>
    <row r="35" spans="8:8" ht="15.75" customHeight="1" x14ac:dyDescent="0.3">
      <c r="H35" s="63"/>
    </row>
    <row r="36" spans="8:8" ht="15.75" customHeight="1" x14ac:dyDescent="0.3">
      <c r="H36" s="34"/>
    </row>
    <row r="37" spans="8:8" ht="15.75" customHeight="1" x14ac:dyDescent="0.3">
      <c r="H37" s="34"/>
    </row>
    <row r="38" spans="8:8" ht="15.75" customHeight="1" x14ac:dyDescent="0.3">
      <c r="H38" s="34"/>
    </row>
    <row r="39" spans="8:8" ht="15.75" customHeight="1" x14ac:dyDescent="0.3">
      <c r="H39" s="68"/>
    </row>
    <row r="40" spans="8:8" ht="15.75" customHeight="1" x14ac:dyDescent="0.3"/>
    <row r="41" spans="8:8" ht="15.75" customHeight="1" x14ac:dyDescent="0.3">
      <c r="H41" s="63"/>
    </row>
    <row r="42" spans="8:8" ht="15.75" customHeight="1" x14ac:dyDescent="0.3">
      <c r="H42" s="41"/>
    </row>
    <row r="43" spans="8:8" ht="15.75" customHeight="1" x14ac:dyDescent="0.3">
      <c r="H43" s="34"/>
    </row>
    <row r="44" spans="8:8" ht="15.75" customHeight="1" x14ac:dyDescent="0.3">
      <c r="H44" s="64"/>
    </row>
    <row r="45" spans="8:8" ht="15.75" customHeight="1" x14ac:dyDescent="0.3">
      <c r="H45" s="34"/>
    </row>
    <row r="46" spans="8:8" ht="15.75" customHeight="1" x14ac:dyDescent="0.3">
      <c r="H46" s="34"/>
    </row>
    <row r="47" spans="8:8" ht="15.75" customHeight="1" x14ac:dyDescent="0.3">
      <c r="H47" s="41"/>
    </row>
    <row r="48" spans="8:8" ht="15.75" customHeight="1" x14ac:dyDescent="0.3">
      <c r="H48" s="34"/>
    </row>
    <row r="49" spans="8:9" ht="15.75" customHeight="1" x14ac:dyDescent="0.3">
      <c r="H49" s="34"/>
    </row>
    <row r="50" spans="8:9" ht="15.75" customHeight="1" x14ac:dyDescent="0.3">
      <c r="H50" s="34"/>
    </row>
    <row r="51" spans="8:9" ht="15.75" customHeight="1" x14ac:dyDescent="0.3">
      <c r="H51" s="68"/>
    </row>
    <row r="52" spans="8:9" ht="15.75" customHeight="1" x14ac:dyDescent="0.3"/>
    <row r="53" spans="8:9" ht="15.75" customHeight="1" x14ac:dyDescent="0.3">
      <c r="H53" s="63"/>
    </row>
    <row r="54" spans="8:9" ht="15.75" customHeight="1" x14ac:dyDescent="0.3">
      <c r="H54" s="41"/>
    </row>
    <row r="55" spans="8:9" ht="15.75" customHeight="1" x14ac:dyDescent="0.3">
      <c r="H55" s="34"/>
    </row>
    <row r="56" spans="8:9" ht="15.75" customHeight="1" x14ac:dyDescent="0.3">
      <c r="H56" s="64"/>
    </row>
    <row r="57" spans="8:9" ht="15.75" customHeight="1" x14ac:dyDescent="0.3">
      <c r="H57" s="41"/>
    </row>
    <row r="58" spans="8:9" ht="15.75" customHeight="1" x14ac:dyDescent="0.3">
      <c r="H58" s="68"/>
    </row>
    <row r="59" spans="8:9" ht="15.75" customHeight="1" x14ac:dyDescent="0.3"/>
    <row r="60" spans="8:9" ht="15.75" customHeight="1" x14ac:dyDescent="0.3"/>
    <row r="61" spans="8:9" ht="15.75" customHeight="1" x14ac:dyDescent="0.3">
      <c r="H61" s="38"/>
    </row>
    <row r="62" spans="8:9" ht="15.75" customHeight="1" x14ac:dyDescent="0.3"/>
    <row r="63" spans="8:9" ht="15.75" customHeight="1" x14ac:dyDescent="0.3">
      <c r="H63" s="5"/>
    </row>
    <row r="64" spans="8:9" ht="15.75" customHeight="1" x14ac:dyDescent="0.3">
      <c r="H64" s="69"/>
      <c r="I64" s="70"/>
    </row>
    <row r="65" spans="8:9" ht="15.75" customHeight="1" x14ac:dyDescent="0.3">
      <c r="I65" s="71"/>
    </row>
    <row r="66" spans="8:9" ht="15.75" customHeight="1" x14ac:dyDescent="0.3"/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>
      <c r="H70" s="62"/>
    </row>
    <row r="71" spans="8:9" ht="15.75" customHeight="1" x14ac:dyDescent="0.3"/>
    <row r="72" spans="8:9" ht="15.75" customHeight="1" x14ac:dyDescent="0.3">
      <c r="H72" s="5"/>
    </row>
    <row r="73" spans="8:9" ht="15.75" customHeight="1" x14ac:dyDescent="0.3"/>
    <row r="74" spans="8:9" ht="15.75" customHeight="1" x14ac:dyDescent="0.3">
      <c r="H74" s="69"/>
      <c r="I74" s="69"/>
    </row>
    <row r="75" spans="8:9" ht="15.75" customHeight="1" x14ac:dyDescent="0.3">
      <c r="H75" s="72"/>
      <c r="I75" s="71"/>
    </row>
    <row r="76" spans="8:9" ht="15.75" customHeight="1" x14ac:dyDescent="0.3"/>
    <row r="77" spans="8:9" ht="15.75" customHeight="1" x14ac:dyDescent="0.3">
      <c r="H77" s="62"/>
    </row>
    <row r="78" spans="8:9" ht="15.75" customHeight="1" x14ac:dyDescent="0.3"/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>
      <c r="H86" s="34"/>
    </row>
    <row r="87" spans="8:8" ht="15.75" customHeight="1" x14ac:dyDescent="0.3"/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>
      <c r="H94" s="34"/>
    </row>
    <row r="95" spans="8:8" ht="15.75" customHeight="1" x14ac:dyDescent="0.3">
      <c r="H95" s="34"/>
    </row>
    <row r="96" spans="8:8" ht="15.75" customHeight="1" x14ac:dyDescent="0.3">
      <c r="H96" s="34"/>
    </row>
    <row r="97" spans="8:8" ht="15.75" customHeight="1" x14ac:dyDescent="0.3">
      <c r="H97" s="34"/>
    </row>
    <row r="98" spans="8:8" ht="15.75" customHeight="1" x14ac:dyDescent="0.3">
      <c r="H98" s="34"/>
    </row>
    <row r="99" spans="8:8" ht="15.75" customHeight="1" x14ac:dyDescent="0.3"/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</sheetData>
  <mergeCells count="2">
    <mergeCell ref="I64:I65"/>
    <mergeCell ref="H75:I75"/>
  </mergeCells>
  <hyperlinks>
    <hyperlink ref="A27" location="'Math 1 - Answer'!A1" display="Click here to view the Answers!" xr:uid="{01CCEF88-2D70-47D4-AF55-36C6DE4F9FE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5AB-C9A8-4B49-BF98-5B2966F9E045}">
  <dimension ref="A1:C12"/>
  <sheetViews>
    <sheetView workbookViewId="0">
      <selection activeCell="G11" sqref="G11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t="s">
        <v>336</v>
      </c>
    </row>
    <row r="2" spans="1:3" x14ac:dyDescent="0.3">
      <c r="A2" t="s">
        <v>337</v>
      </c>
    </row>
    <row r="3" spans="1:3" x14ac:dyDescent="0.3">
      <c r="A3" t="s">
        <v>338</v>
      </c>
    </row>
    <row r="4" spans="1:3" x14ac:dyDescent="0.3">
      <c r="A4" t="s">
        <v>339</v>
      </c>
    </row>
    <row r="6" spans="1:3" x14ac:dyDescent="0.3">
      <c r="A6" t="s">
        <v>340</v>
      </c>
    </row>
    <row r="8" spans="1:3" x14ac:dyDescent="0.3">
      <c r="A8" s="73" t="s">
        <v>341</v>
      </c>
      <c r="B8" s="73" t="s">
        <v>122</v>
      </c>
      <c r="C8" s="73" t="s">
        <v>342</v>
      </c>
    </row>
    <row r="9" spans="1:3" x14ac:dyDescent="0.3">
      <c r="A9" s="74" t="s">
        <v>343</v>
      </c>
      <c r="B9" s="74">
        <v>78</v>
      </c>
      <c r="C9" s="75" t="str">
        <f>IF(B9&gt;=80, "Excellent", IF(B9&gt;=60, "Good", "Failed"))</f>
        <v>Good</v>
      </c>
    </row>
    <row r="10" spans="1:3" x14ac:dyDescent="0.3">
      <c r="A10" s="74" t="s">
        <v>344</v>
      </c>
      <c r="B10" s="74">
        <v>85</v>
      </c>
      <c r="C10" s="75" t="str">
        <f t="shared" ref="C10:C12" si="0">IF(B10&gt;=80, "Excellent", IF(B10&gt;=60, "Good", "Failed"))</f>
        <v>Excellent</v>
      </c>
    </row>
    <row r="11" spans="1:3" x14ac:dyDescent="0.3">
      <c r="A11" s="74" t="s">
        <v>345</v>
      </c>
      <c r="B11" s="74">
        <v>44</v>
      </c>
      <c r="C11" s="75" t="str">
        <f t="shared" si="0"/>
        <v>Failed</v>
      </c>
    </row>
    <row r="12" spans="1:3" x14ac:dyDescent="0.3">
      <c r="A12" s="74" t="s">
        <v>346</v>
      </c>
      <c r="B12" s="74">
        <v>61</v>
      </c>
      <c r="C12" s="75" t="str">
        <f t="shared" si="0"/>
        <v>Good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BF63-07B9-4E42-8AD0-1D6F031313BE}">
  <dimension ref="G1:P2340"/>
  <sheetViews>
    <sheetView topLeftCell="G1" workbookViewId="0">
      <selection activeCell="M8" sqref="M8"/>
    </sheetView>
  </sheetViews>
  <sheetFormatPr defaultRowHeight="14.4" x14ac:dyDescent="0.3"/>
  <cols>
    <col min="7" max="7" width="7.33203125" bestFit="1" customWidth="1"/>
    <col min="8" max="8" width="14.5546875" bestFit="1" customWidth="1"/>
    <col min="9" max="9" width="13.21875" bestFit="1" customWidth="1"/>
    <col min="10" max="10" width="6.77734375" bestFit="1" customWidth="1"/>
    <col min="11" max="11" width="10.5546875" bestFit="1" customWidth="1"/>
    <col min="12" max="12" width="15.44140625" bestFit="1" customWidth="1"/>
    <col min="13" max="13" width="18.77734375" bestFit="1" customWidth="1"/>
    <col min="14" max="14" width="8.21875" bestFit="1" customWidth="1"/>
    <col min="15" max="15" width="10.5546875" bestFit="1" customWidth="1"/>
    <col min="16" max="16" width="10" bestFit="1" customWidth="1"/>
  </cols>
  <sheetData>
    <row r="1" spans="7:16" x14ac:dyDescent="0.3">
      <c r="G1" t="s">
        <v>347</v>
      </c>
      <c r="H1" s="76" t="s">
        <v>348</v>
      </c>
      <c r="I1" s="76" t="s">
        <v>349</v>
      </c>
      <c r="J1" s="76" t="s">
        <v>350</v>
      </c>
      <c r="K1" s="76" t="s">
        <v>351</v>
      </c>
      <c r="L1" s="76" t="s">
        <v>352</v>
      </c>
      <c r="M1" s="76" t="s">
        <v>353</v>
      </c>
      <c r="N1" s="76" t="s">
        <v>354</v>
      </c>
      <c r="O1" s="76" t="s">
        <v>355</v>
      </c>
      <c r="P1" s="76" t="s">
        <v>356</v>
      </c>
    </row>
    <row r="2" spans="7:16" x14ac:dyDescent="0.3">
      <c r="G2" t="s">
        <v>357</v>
      </c>
      <c r="H2" s="76" t="s">
        <v>358</v>
      </c>
      <c r="I2" s="76" t="s">
        <v>359</v>
      </c>
      <c r="J2" s="76" t="s">
        <v>360</v>
      </c>
      <c r="K2" s="77">
        <v>43379</v>
      </c>
      <c r="L2" s="76" t="s">
        <v>361</v>
      </c>
      <c r="M2" s="76" t="s">
        <v>362</v>
      </c>
      <c r="N2" s="76">
        <v>80</v>
      </c>
      <c r="O2" s="76">
        <v>79</v>
      </c>
      <c r="P2" s="78">
        <v>1.2500000000000001E-2</v>
      </c>
    </row>
    <row r="3" spans="7:16" x14ac:dyDescent="0.3">
      <c r="G3" t="s">
        <v>363</v>
      </c>
      <c r="H3" s="76" t="s">
        <v>364</v>
      </c>
      <c r="I3" s="76" t="s">
        <v>365</v>
      </c>
      <c r="J3" s="76" t="s">
        <v>366</v>
      </c>
      <c r="K3" s="76" t="s">
        <v>367</v>
      </c>
      <c r="L3" s="76" t="s">
        <v>361</v>
      </c>
      <c r="M3" s="76" t="s">
        <v>368</v>
      </c>
      <c r="N3" s="76">
        <v>80</v>
      </c>
      <c r="O3" s="76">
        <v>54</v>
      </c>
      <c r="P3" s="78">
        <v>0.32500000000000001</v>
      </c>
    </row>
    <row r="4" spans="7:16" x14ac:dyDescent="0.3">
      <c r="G4" t="s">
        <v>369</v>
      </c>
      <c r="H4" s="76" t="s">
        <v>370</v>
      </c>
      <c r="I4" s="76" t="s">
        <v>371</v>
      </c>
      <c r="J4" s="76" t="s">
        <v>372</v>
      </c>
      <c r="K4" s="77">
        <v>42828</v>
      </c>
      <c r="L4" s="76" t="s">
        <v>373</v>
      </c>
      <c r="M4" s="76" t="s">
        <v>374</v>
      </c>
      <c r="N4" s="76">
        <v>700</v>
      </c>
      <c r="O4" s="76">
        <v>686</v>
      </c>
      <c r="P4" s="78">
        <v>0.02</v>
      </c>
    </row>
    <row r="5" spans="7:16" x14ac:dyDescent="0.3">
      <c r="G5" t="s">
        <v>375</v>
      </c>
      <c r="H5" s="76" t="s">
        <v>376</v>
      </c>
      <c r="I5" s="76" t="s">
        <v>377</v>
      </c>
      <c r="J5" s="76" t="s">
        <v>360</v>
      </c>
      <c r="K5" s="76" t="s">
        <v>378</v>
      </c>
      <c r="L5" s="76" t="s">
        <v>379</v>
      </c>
      <c r="M5" s="76" t="s">
        <v>380</v>
      </c>
      <c r="N5" s="76">
        <v>150</v>
      </c>
      <c r="O5" s="76">
        <v>137</v>
      </c>
      <c r="P5" s="78">
        <v>8.6699999999999999E-2</v>
      </c>
    </row>
    <row r="6" spans="7:16" x14ac:dyDescent="0.3">
      <c r="G6" t="s">
        <v>381</v>
      </c>
      <c r="H6" s="76" t="s">
        <v>382</v>
      </c>
      <c r="I6" s="76" t="s">
        <v>383</v>
      </c>
      <c r="J6" s="76" t="s">
        <v>384</v>
      </c>
      <c r="K6" s="77">
        <v>42066</v>
      </c>
      <c r="L6" s="76" t="s">
        <v>385</v>
      </c>
      <c r="M6" s="76" t="s">
        <v>386</v>
      </c>
      <c r="N6" s="76">
        <v>50</v>
      </c>
      <c r="O6" s="76">
        <v>37</v>
      </c>
      <c r="P6" s="78">
        <v>0.26</v>
      </c>
    </row>
    <row r="7" spans="7:16" x14ac:dyDescent="0.3">
      <c r="G7" t="s">
        <v>387</v>
      </c>
      <c r="H7" s="76" t="s">
        <v>388</v>
      </c>
      <c r="I7" s="76" t="s">
        <v>389</v>
      </c>
      <c r="J7" s="76" t="s">
        <v>384</v>
      </c>
      <c r="K7" s="76" t="s">
        <v>390</v>
      </c>
      <c r="L7" s="76" t="s">
        <v>391</v>
      </c>
      <c r="M7" s="76" t="s">
        <v>392</v>
      </c>
      <c r="N7" s="76">
        <v>30</v>
      </c>
      <c r="O7" s="76">
        <v>29</v>
      </c>
      <c r="P7" s="78">
        <v>3.3300000000000003E-2</v>
      </c>
    </row>
    <row r="8" spans="7:16" x14ac:dyDescent="0.3">
      <c r="G8" t="s">
        <v>393</v>
      </c>
      <c r="H8" s="76" t="s">
        <v>394</v>
      </c>
      <c r="I8" s="76" t="s">
        <v>395</v>
      </c>
      <c r="J8" s="76" t="s">
        <v>372</v>
      </c>
      <c r="K8" s="77">
        <v>42527</v>
      </c>
      <c r="L8" s="76" t="s">
        <v>396</v>
      </c>
      <c r="M8" s="76" t="s">
        <v>397</v>
      </c>
      <c r="N8" s="76">
        <v>500</v>
      </c>
      <c r="O8" s="76">
        <v>465</v>
      </c>
      <c r="P8" s="78">
        <v>7.0000000000000007E-2</v>
      </c>
    </row>
    <row r="9" spans="7:16" x14ac:dyDescent="0.3">
      <c r="G9" t="s">
        <v>398</v>
      </c>
      <c r="H9" s="76" t="s">
        <v>399</v>
      </c>
      <c r="I9" s="76" t="s">
        <v>400</v>
      </c>
      <c r="J9" s="76" t="s">
        <v>372</v>
      </c>
      <c r="K9" s="77">
        <v>42528</v>
      </c>
      <c r="L9" s="76" t="s">
        <v>391</v>
      </c>
      <c r="M9" s="76" t="s">
        <v>401</v>
      </c>
      <c r="N9" s="76">
        <v>30</v>
      </c>
      <c r="O9" s="76">
        <v>28</v>
      </c>
      <c r="P9" s="78">
        <v>6.6699999999999995E-2</v>
      </c>
    </row>
    <row r="10" spans="7:16" x14ac:dyDescent="0.3">
      <c r="G10" t="s">
        <v>402</v>
      </c>
      <c r="H10" s="76" t="s">
        <v>403</v>
      </c>
      <c r="I10" s="76" t="s">
        <v>404</v>
      </c>
      <c r="J10" s="76" t="s">
        <v>360</v>
      </c>
      <c r="K10" s="77">
        <v>42349</v>
      </c>
      <c r="L10" s="76" t="s">
        <v>405</v>
      </c>
      <c r="M10" s="76" t="s">
        <v>406</v>
      </c>
      <c r="N10" s="76">
        <v>800</v>
      </c>
      <c r="O10" s="76">
        <v>760</v>
      </c>
      <c r="P10" s="78">
        <v>0.05</v>
      </c>
    </row>
    <row r="11" spans="7:16" x14ac:dyDescent="0.3">
      <c r="G11" t="s">
        <v>407</v>
      </c>
      <c r="H11" s="76" t="s">
        <v>394</v>
      </c>
      <c r="I11" s="76" t="s">
        <v>395</v>
      </c>
      <c r="J11" s="76" t="s">
        <v>372</v>
      </c>
      <c r="K11" s="77">
        <v>41889</v>
      </c>
      <c r="L11" s="76" t="s">
        <v>391</v>
      </c>
      <c r="M11" s="76" t="s">
        <v>397</v>
      </c>
      <c r="N11" s="76">
        <v>30</v>
      </c>
      <c r="O11" s="76">
        <v>28</v>
      </c>
      <c r="P11" s="78">
        <v>6.6699999999999995E-2</v>
      </c>
    </row>
    <row r="12" spans="7:16" x14ac:dyDescent="0.3">
      <c r="G12" t="s">
        <v>408</v>
      </c>
      <c r="H12" s="76" t="s">
        <v>409</v>
      </c>
      <c r="I12" s="76" t="s">
        <v>410</v>
      </c>
      <c r="J12" s="76" t="s">
        <v>360</v>
      </c>
      <c r="K12" s="77">
        <v>43015</v>
      </c>
      <c r="L12" s="76" t="s">
        <v>411</v>
      </c>
      <c r="M12" s="76" t="s">
        <v>412</v>
      </c>
      <c r="N12" s="76">
        <v>1000</v>
      </c>
      <c r="O12" s="76">
        <v>500</v>
      </c>
      <c r="P12" s="78">
        <v>0.5</v>
      </c>
    </row>
    <row r="13" spans="7:16" x14ac:dyDescent="0.3">
      <c r="G13" t="s">
        <v>413</v>
      </c>
      <c r="H13" s="76" t="s">
        <v>414</v>
      </c>
      <c r="I13" s="76" t="s">
        <v>415</v>
      </c>
      <c r="J13" s="76" t="s">
        <v>384</v>
      </c>
      <c r="K13" s="76" t="s">
        <v>416</v>
      </c>
      <c r="L13" s="76" t="s">
        <v>373</v>
      </c>
      <c r="M13" s="76" t="s">
        <v>417</v>
      </c>
      <c r="N13" s="76">
        <v>700</v>
      </c>
      <c r="O13" s="76">
        <v>679</v>
      </c>
      <c r="P13" s="78">
        <v>0.03</v>
      </c>
    </row>
    <row r="14" spans="7:16" x14ac:dyDescent="0.3">
      <c r="G14" t="s">
        <v>418</v>
      </c>
      <c r="H14" s="76" t="s">
        <v>399</v>
      </c>
      <c r="I14" s="76" t="s">
        <v>400</v>
      </c>
      <c r="J14" s="76" t="s">
        <v>372</v>
      </c>
      <c r="K14" s="77">
        <v>42072</v>
      </c>
      <c r="L14" s="76" t="s">
        <v>391</v>
      </c>
      <c r="M14" s="76" t="s">
        <v>419</v>
      </c>
      <c r="N14" s="76">
        <v>30</v>
      </c>
      <c r="O14" s="76">
        <v>28</v>
      </c>
      <c r="P14" s="78">
        <v>6.6699999999999995E-2</v>
      </c>
    </row>
    <row r="15" spans="7:16" x14ac:dyDescent="0.3">
      <c r="G15" t="s">
        <v>420</v>
      </c>
      <c r="H15" s="76" t="s">
        <v>421</v>
      </c>
      <c r="I15" s="76" t="s">
        <v>422</v>
      </c>
      <c r="J15" s="76" t="s">
        <v>384</v>
      </c>
      <c r="K15" s="76" t="s">
        <v>423</v>
      </c>
      <c r="L15" s="76" t="s">
        <v>424</v>
      </c>
      <c r="M15" s="76" t="s">
        <v>425</v>
      </c>
      <c r="N15" s="76">
        <v>500</v>
      </c>
      <c r="O15" s="76">
        <v>490</v>
      </c>
      <c r="P15" s="78">
        <v>0.02</v>
      </c>
    </row>
    <row r="16" spans="7:16" x14ac:dyDescent="0.3">
      <c r="G16" t="s">
        <v>426</v>
      </c>
      <c r="H16" s="76" t="s">
        <v>382</v>
      </c>
      <c r="I16" s="76" t="s">
        <v>383</v>
      </c>
      <c r="J16" s="76" t="s">
        <v>384</v>
      </c>
      <c r="K16" s="77">
        <v>43416</v>
      </c>
      <c r="L16" s="76" t="s">
        <v>405</v>
      </c>
      <c r="M16" s="76" t="s">
        <v>427</v>
      </c>
      <c r="N16" s="76">
        <v>800</v>
      </c>
      <c r="O16" s="76">
        <v>672</v>
      </c>
      <c r="P16" s="78">
        <v>0.16</v>
      </c>
    </row>
    <row r="17" spans="7:16" x14ac:dyDescent="0.3">
      <c r="G17" t="s">
        <v>428</v>
      </c>
      <c r="H17" s="76" t="s">
        <v>429</v>
      </c>
      <c r="I17" s="76" t="s">
        <v>430</v>
      </c>
      <c r="J17" s="76" t="s">
        <v>384</v>
      </c>
      <c r="K17" s="76" t="s">
        <v>431</v>
      </c>
      <c r="L17" s="76" t="s">
        <v>361</v>
      </c>
      <c r="M17" s="76" t="s">
        <v>432</v>
      </c>
      <c r="N17" s="76">
        <v>80</v>
      </c>
      <c r="O17" s="76">
        <v>78</v>
      </c>
      <c r="P17" s="78">
        <v>2.5000000000000001E-2</v>
      </c>
    </row>
    <row r="18" spans="7:16" x14ac:dyDescent="0.3">
      <c r="G18" t="s">
        <v>433</v>
      </c>
      <c r="H18" s="76" t="s">
        <v>434</v>
      </c>
      <c r="I18" s="76" t="s">
        <v>435</v>
      </c>
      <c r="J18" s="76" t="s">
        <v>360</v>
      </c>
      <c r="K18" s="77">
        <v>41979</v>
      </c>
      <c r="L18" s="76" t="s">
        <v>411</v>
      </c>
      <c r="M18" s="76" t="s">
        <v>436</v>
      </c>
      <c r="N18" s="76">
        <v>1000</v>
      </c>
      <c r="O18" s="76">
        <v>620</v>
      </c>
      <c r="P18" s="78">
        <v>0.38</v>
      </c>
    </row>
    <row r="19" spans="7:16" x14ac:dyDescent="0.3">
      <c r="G19" t="s">
        <v>437</v>
      </c>
      <c r="H19" s="76" t="s">
        <v>438</v>
      </c>
      <c r="I19" s="76" t="s">
        <v>439</v>
      </c>
      <c r="J19" s="76" t="s">
        <v>360</v>
      </c>
      <c r="K19" s="77">
        <v>42927</v>
      </c>
      <c r="L19" s="76" t="s">
        <v>424</v>
      </c>
      <c r="M19" s="76" t="s">
        <v>440</v>
      </c>
      <c r="N19" s="76">
        <v>500</v>
      </c>
      <c r="O19" s="76">
        <v>500</v>
      </c>
      <c r="P19" s="78">
        <v>0</v>
      </c>
    </row>
    <row r="20" spans="7:16" x14ac:dyDescent="0.3">
      <c r="G20" t="s">
        <v>441</v>
      </c>
      <c r="H20" s="76" t="s">
        <v>364</v>
      </c>
      <c r="I20" s="76" t="s">
        <v>365</v>
      </c>
      <c r="J20" s="76" t="s">
        <v>366</v>
      </c>
      <c r="K20" s="77">
        <v>41709</v>
      </c>
      <c r="L20" s="76" t="s">
        <v>379</v>
      </c>
      <c r="M20" s="76" t="s">
        <v>442</v>
      </c>
      <c r="N20" s="76">
        <v>150</v>
      </c>
      <c r="O20" s="76">
        <v>150</v>
      </c>
      <c r="P20" s="78">
        <v>0</v>
      </c>
    </row>
    <row r="21" spans="7:16" x14ac:dyDescent="0.3">
      <c r="G21" t="s">
        <v>443</v>
      </c>
      <c r="H21" s="76" t="s">
        <v>444</v>
      </c>
      <c r="I21" s="76" t="s">
        <v>445</v>
      </c>
      <c r="J21" s="76" t="s">
        <v>384</v>
      </c>
      <c r="K21" s="76" t="s">
        <v>446</v>
      </c>
      <c r="L21" s="76" t="s">
        <v>411</v>
      </c>
      <c r="M21" s="76" t="s">
        <v>447</v>
      </c>
      <c r="N21" s="76">
        <v>1000</v>
      </c>
      <c r="O21" s="76">
        <v>950</v>
      </c>
      <c r="P21" s="78">
        <v>0.05</v>
      </c>
    </row>
    <row r="22" spans="7:16" x14ac:dyDescent="0.3">
      <c r="G22" t="s">
        <v>448</v>
      </c>
      <c r="H22" s="76" t="s">
        <v>449</v>
      </c>
      <c r="I22" s="76" t="s">
        <v>450</v>
      </c>
      <c r="J22" s="76" t="s">
        <v>360</v>
      </c>
      <c r="K22" s="76" t="s">
        <v>451</v>
      </c>
      <c r="L22" s="76" t="s">
        <v>405</v>
      </c>
      <c r="M22" s="76" t="s">
        <v>452</v>
      </c>
      <c r="N22" s="76">
        <v>800</v>
      </c>
      <c r="O22" s="76">
        <v>736</v>
      </c>
      <c r="P22" s="78">
        <v>0.08</v>
      </c>
    </row>
    <row r="23" spans="7:16" x14ac:dyDescent="0.3">
      <c r="G23" t="s">
        <v>453</v>
      </c>
      <c r="H23" s="76" t="s">
        <v>454</v>
      </c>
      <c r="I23" s="76" t="s">
        <v>455</v>
      </c>
      <c r="J23" s="76" t="s">
        <v>360</v>
      </c>
      <c r="K23" s="76" t="s">
        <v>456</v>
      </c>
      <c r="L23" s="76" t="s">
        <v>391</v>
      </c>
      <c r="M23" s="76" t="s">
        <v>457</v>
      </c>
      <c r="N23" s="76">
        <v>30</v>
      </c>
      <c r="O23" s="76">
        <v>22</v>
      </c>
      <c r="P23" s="78">
        <v>0.26669999999999999</v>
      </c>
    </row>
    <row r="24" spans="7:16" x14ac:dyDescent="0.3">
      <c r="G24" t="s">
        <v>458</v>
      </c>
      <c r="H24" s="76" t="s">
        <v>459</v>
      </c>
      <c r="I24" s="76" t="s">
        <v>422</v>
      </c>
      <c r="J24" s="76" t="s">
        <v>384</v>
      </c>
      <c r="K24" s="76" t="s">
        <v>460</v>
      </c>
      <c r="L24" s="76" t="s">
        <v>461</v>
      </c>
      <c r="M24" s="76" t="s">
        <v>462</v>
      </c>
      <c r="N24" s="76">
        <v>70</v>
      </c>
      <c r="O24" s="76">
        <v>67</v>
      </c>
      <c r="P24" s="78">
        <v>4.2900000000000001E-2</v>
      </c>
    </row>
    <row r="25" spans="7:16" x14ac:dyDescent="0.3">
      <c r="G25" t="s">
        <v>463</v>
      </c>
      <c r="H25" s="76" t="s">
        <v>464</v>
      </c>
      <c r="I25" s="76" t="s">
        <v>465</v>
      </c>
      <c r="J25" s="76" t="s">
        <v>366</v>
      </c>
      <c r="K25" s="76" t="s">
        <v>466</v>
      </c>
      <c r="L25" s="76" t="s">
        <v>391</v>
      </c>
      <c r="M25" s="76" t="s">
        <v>467</v>
      </c>
      <c r="N25" s="76">
        <v>30</v>
      </c>
      <c r="O25" s="76">
        <v>27</v>
      </c>
      <c r="P25" s="78">
        <v>0.1</v>
      </c>
    </row>
    <row r="26" spans="7:16" x14ac:dyDescent="0.3">
      <c r="G26" t="s">
        <v>468</v>
      </c>
      <c r="H26" s="76" t="s">
        <v>469</v>
      </c>
      <c r="I26" s="76" t="s">
        <v>435</v>
      </c>
      <c r="J26" s="76" t="s">
        <v>360</v>
      </c>
      <c r="K26" s="76" t="s">
        <v>470</v>
      </c>
      <c r="L26" s="76" t="s">
        <v>424</v>
      </c>
      <c r="M26" s="76" t="s">
        <v>471</v>
      </c>
      <c r="N26" s="76">
        <v>500</v>
      </c>
      <c r="O26" s="76">
        <v>495</v>
      </c>
      <c r="P26" s="78">
        <v>0.01</v>
      </c>
    </row>
    <row r="27" spans="7:16" x14ac:dyDescent="0.3">
      <c r="G27" t="s">
        <v>472</v>
      </c>
      <c r="H27" s="76" t="s">
        <v>473</v>
      </c>
      <c r="I27" s="76" t="s">
        <v>404</v>
      </c>
      <c r="J27" s="76" t="s">
        <v>360</v>
      </c>
      <c r="K27" s="76" t="s">
        <v>474</v>
      </c>
      <c r="L27" s="76" t="s">
        <v>475</v>
      </c>
      <c r="M27" s="76" t="s">
        <v>476</v>
      </c>
      <c r="N27" s="76">
        <v>250</v>
      </c>
      <c r="O27" s="76">
        <v>238</v>
      </c>
      <c r="P27" s="78">
        <v>4.8000000000000001E-2</v>
      </c>
    </row>
    <row r="28" spans="7:16" x14ac:dyDescent="0.3">
      <c r="G28" t="s">
        <v>477</v>
      </c>
      <c r="H28" s="76" t="s">
        <v>478</v>
      </c>
      <c r="I28" s="76" t="s">
        <v>479</v>
      </c>
      <c r="J28" s="76" t="s">
        <v>384</v>
      </c>
      <c r="K28" s="77">
        <v>42918</v>
      </c>
      <c r="L28" s="76" t="s">
        <v>475</v>
      </c>
      <c r="M28" s="76" t="s">
        <v>480</v>
      </c>
      <c r="N28" s="76">
        <v>250</v>
      </c>
      <c r="O28" s="76">
        <v>240</v>
      </c>
      <c r="P28" s="78">
        <v>0.04</v>
      </c>
    </row>
    <row r="29" spans="7:16" x14ac:dyDescent="0.3">
      <c r="G29" t="s">
        <v>481</v>
      </c>
      <c r="H29" s="76" t="s">
        <v>364</v>
      </c>
      <c r="I29" s="76" t="s">
        <v>365</v>
      </c>
      <c r="J29" s="76" t="s">
        <v>366</v>
      </c>
      <c r="K29" s="76" t="s">
        <v>482</v>
      </c>
      <c r="L29" s="76" t="s">
        <v>483</v>
      </c>
      <c r="M29" s="76" t="s">
        <v>368</v>
      </c>
      <c r="N29" s="76">
        <v>50</v>
      </c>
      <c r="O29" s="76">
        <v>43</v>
      </c>
      <c r="P29" s="78">
        <v>0.14000000000000001</v>
      </c>
    </row>
    <row r="30" spans="7:16" x14ac:dyDescent="0.3">
      <c r="G30" t="s">
        <v>484</v>
      </c>
      <c r="H30" s="76" t="s">
        <v>485</v>
      </c>
      <c r="I30" s="76" t="s">
        <v>389</v>
      </c>
      <c r="J30" s="76" t="s">
        <v>384</v>
      </c>
      <c r="K30" s="76" t="s">
        <v>486</v>
      </c>
      <c r="L30" s="76" t="s">
        <v>424</v>
      </c>
      <c r="M30" s="76" t="s">
        <v>487</v>
      </c>
      <c r="N30" s="76">
        <v>500</v>
      </c>
      <c r="O30" s="76">
        <v>495</v>
      </c>
      <c r="P30" s="78">
        <v>0.01</v>
      </c>
    </row>
    <row r="31" spans="7:16" x14ac:dyDescent="0.3">
      <c r="G31" t="s">
        <v>488</v>
      </c>
      <c r="H31" s="76" t="s">
        <v>489</v>
      </c>
      <c r="I31" s="76" t="s">
        <v>490</v>
      </c>
      <c r="J31" s="76" t="s">
        <v>360</v>
      </c>
      <c r="K31" s="76" t="s">
        <v>491</v>
      </c>
      <c r="L31" s="76" t="s">
        <v>461</v>
      </c>
      <c r="M31" s="76" t="s">
        <v>492</v>
      </c>
      <c r="N31" s="76">
        <v>70</v>
      </c>
      <c r="O31" s="76">
        <v>64</v>
      </c>
      <c r="P31" s="78">
        <v>8.5699999999999998E-2</v>
      </c>
    </row>
    <row r="32" spans="7:16" x14ac:dyDescent="0.3">
      <c r="G32" t="s">
        <v>493</v>
      </c>
      <c r="H32" s="76" t="s">
        <v>494</v>
      </c>
      <c r="I32" s="76" t="s">
        <v>465</v>
      </c>
      <c r="J32" s="76" t="s">
        <v>366</v>
      </c>
      <c r="K32" s="77">
        <v>41919</v>
      </c>
      <c r="L32" s="76" t="s">
        <v>379</v>
      </c>
      <c r="M32" s="76" t="s">
        <v>495</v>
      </c>
      <c r="N32" s="76">
        <v>150</v>
      </c>
      <c r="O32" s="76">
        <v>138</v>
      </c>
      <c r="P32" s="78">
        <v>0.08</v>
      </c>
    </row>
    <row r="33" spans="7:16" x14ac:dyDescent="0.3">
      <c r="G33" t="s">
        <v>496</v>
      </c>
      <c r="H33" s="76" t="s">
        <v>497</v>
      </c>
      <c r="I33" s="76" t="s">
        <v>445</v>
      </c>
      <c r="J33" s="76" t="s">
        <v>384</v>
      </c>
      <c r="K33" s="76" t="s">
        <v>498</v>
      </c>
      <c r="L33" s="76" t="s">
        <v>379</v>
      </c>
      <c r="M33" s="76" t="s">
        <v>499</v>
      </c>
      <c r="N33" s="76">
        <v>150</v>
      </c>
      <c r="O33" s="76">
        <v>117</v>
      </c>
      <c r="P33" s="78">
        <v>0.22</v>
      </c>
    </row>
    <row r="34" spans="7:16" x14ac:dyDescent="0.3">
      <c r="G34" t="s">
        <v>500</v>
      </c>
      <c r="H34" s="76" t="s">
        <v>358</v>
      </c>
      <c r="I34" s="76" t="s">
        <v>359</v>
      </c>
      <c r="J34" s="76" t="s">
        <v>360</v>
      </c>
      <c r="K34" s="76" t="s">
        <v>498</v>
      </c>
      <c r="L34" s="76" t="s">
        <v>411</v>
      </c>
      <c r="M34" s="76" t="s">
        <v>501</v>
      </c>
      <c r="N34" s="76">
        <v>1000</v>
      </c>
      <c r="O34" s="76">
        <v>910</v>
      </c>
      <c r="P34" s="78">
        <v>0.09</v>
      </c>
    </row>
    <row r="35" spans="7:16" x14ac:dyDescent="0.3">
      <c r="G35" t="s">
        <v>502</v>
      </c>
      <c r="H35" s="76" t="s">
        <v>454</v>
      </c>
      <c r="I35" s="76" t="s">
        <v>455</v>
      </c>
      <c r="J35" s="76" t="s">
        <v>360</v>
      </c>
      <c r="K35" s="76" t="s">
        <v>503</v>
      </c>
      <c r="L35" s="76" t="s">
        <v>405</v>
      </c>
      <c r="M35" s="76" t="s">
        <v>457</v>
      </c>
      <c r="N35" s="76">
        <v>800</v>
      </c>
      <c r="O35" s="76">
        <v>584</v>
      </c>
      <c r="P35" s="78">
        <v>0.27</v>
      </c>
    </row>
    <row r="36" spans="7:16" x14ac:dyDescent="0.3">
      <c r="G36" t="s">
        <v>504</v>
      </c>
      <c r="H36" s="76" t="s">
        <v>414</v>
      </c>
      <c r="I36" s="76" t="s">
        <v>415</v>
      </c>
      <c r="J36" s="76" t="s">
        <v>384</v>
      </c>
      <c r="K36" s="76" t="s">
        <v>505</v>
      </c>
      <c r="L36" s="76" t="s">
        <v>361</v>
      </c>
      <c r="M36" s="76" t="s">
        <v>506</v>
      </c>
      <c r="N36" s="76">
        <v>80</v>
      </c>
      <c r="O36" s="76">
        <v>77</v>
      </c>
      <c r="P36" s="78">
        <v>3.7499999999999999E-2</v>
      </c>
    </row>
    <row r="37" spans="7:16" x14ac:dyDescent="0.3">
      <c r="G37" t="s">
        <v>507</v>
      </c>
      <c r="H37" s="76" t="s">
        <v>421</v>
      </c>
      <c r="I37" s="76" t="s">
        <v>422</v>
      </c>
      <c r="J37" s="76" t="s">
        <v>384</v>
      </c>
      <c r="K37" s="76" t="s">
        <v>508</v>
      </c>
      <c r="L37" s="76" t="s">
        <v>424</v>
      </c>
      <c r="M37" s="76" t="s">
        <v>509</v>
      </c>
      <c r="N37" s="76">
        <v>500</v>
      </c>
      <c r="O37" s="76">
        <v>500</v>
      </c>
      <c r="P37" s="78">
        <v>0</v>
      </c>
    </row>
    <row r="38" spans="7:16" x14ac:dyDescent="0.3">
      <c r="G38" t="s">
        <v>510</v>
      </c>
      <c r="H38" s="76" t="s">
        <v>370</v>
      </c>
      <c r="I38" s="76" t="s">
        <v>371</v>
      </c>
      <c r="J38" s="76" t="s">
        <v>372</v>
      </c>
      <c r="K38" s="76" t="s">
        <v>511</v>
      </c>
      <c r="L38" s="76" t="s">
        <v>379</v>
      </c>
      <c r="M38" s="76" t="s">
        <v>512</v>
      </c>
      <c r="N38" s="76">
        <v>150</v>
      </c>
      <c r="O38" s="76">
        <v>146</v>
      </c>
      <c r="P38" s="78">
        <v>2.6700000000000002E-2</v>
      </c>
    </row>
    <row r="39" spans="7:16" x14ac:dyDescent="0.3">
      <c r="G39" t="s">
        <v>513</v>
      </c>
      <c r="H39" s="76" t="s">
        <v>514</v>
      </c>
      <c r="I39" s="76" t="s">
        <v>515</v>
      </c>
      <c r="J39" s="76" t="s">
        <v>360</v>
      </c>
      <c r="K39" s="76" t="s">
        <v>516</v>
      </c>
      <c r="L39" s="76" t="s">
        <v>396</v>
      </c>
      <c r="M39" s="76" t="s">
        <v>517</v>
      </c>
      <c r="N39" s="76">
        <v>500</v>
      </c>
      <c r="O39" s="76">
        <v>460</v>
      </c>
      <c r="P39" s="78">
        <v>0.08</v>
      </c>
    </row>
    <row r="40" spans="7:16" x14ac:dyDescent="0.3">
      <c r="G40" t="s">
        <v>518</v>
      </c>
      <c r="H40" s="76" t="s">
        <v>519</v>
      </c>
      <c r="I40" s="76" t="s">
        <v>520</v>
      </c>
      <c r="J40" s="76" t="s">
        <v>360</v>
      </c>
      <c r="K40" s="76" t="s">
        <v>521</v>
      </c>
      <c r="L40" s="76" t="s">
        <v>483</v>
      </c>
      <c r="M40" s="76" t="s">
        <v>522</v>
      </c>
      <c r="N40" s="76">
        <v>50</v>
      </c>
      <c r="O40" s="76">
        <v>43</v>
      </c>
      <c r="P40" s="78">
        <v>0.14000000000000001</v>
      </c>
    </row>
    <row r="41" spans="7:16" x14ac:dyDescent="0.3">
      <c r="G41" t="s">
        <v>523</v>
      </c>
      <c r="H41" s="76" t="s">
        <v>524</v>
      </c>
      <c r="I41" s="76" t="s">
        <v>465</v>
      </c>
      <c r="J41" s="76" t="s">
        <v>366</v>
      </c>
      <c r="K41" s="76" t="s">
        <v>525</v>
      </c>
      <c r="L41" s="76" t="s">
        <v>361</v>
      </c>
      <c r="M41" s="76" t="s">
        <v>526</v>
      </c>
      <c r="N41" s="76">
        <v>80</v>
      </c>
      <c r="O41" s="76">
        <v>72</v>
      </c>
      <c r="P41" s="78">
        <v>0.1</v>
      </c>
    </row>
    <row r="42" spans="7:16" x14ac:dyDescent="0.3">
      <c r="G42" t="s">
        <v>527</v>
      </c>
      <c r="H42" s="76" t="s">
        <v>528</v>
      </c>
      <c r="I42" s="76" t="s">
        <v>465</v>
      </c>
      <c r="J42" s="76" t="s">
        <v>366</v>
      </c>
      <c r="K42" s="76" t="s">
        <v>529</v>
      </c>
      <c r="L42" s="76" t="s">
        <v>361</v>
      </c>
      <c r="M42" s="76" t="s">
        <v>530</v>
      </c>
      <c r="N42" s="76">
        <v>80</v>
      </c>
      <c r="O42" s="76">
        <v>75</v>
      </c>
      <c r="P42" s="78">
        <v>6.25E-2</v>
      </c>
    </row>
    <row r="43" spans="7:16" x14ac:dyDescent="0.3">
      <c r="G43" t="s">
        <v>531</v>
      </c>
      <c r="H43" s="76" t="s">
        <v>382</v>
      </c>
      <c r="I43" s="76" t="s">
        <v>383</v>
      </c>
      <c r="J43" s="76" t="s">
        <v>384</v>
      </c>
      <c r="K43" s="76" t="s">
        <v>532</v>
      </c>
      <c r="L43" s="76" t="s">
        <v>391</v>
      </c>
      <c r="M43" s="76" t="s">
        <v>533</v>
      </c>
      <c r="N43" s="76">
        <v>30</v>
      </c>
      <c r="O43" s="76">
        <v>26</v>
      </c>
      <c r="P43" s="78">
        <v>0.1333</v>
      </c>
    </row>
    <row r="44" spans="7:16" x14ac:dyDescent="0.3">
      <c r="G44" t="s">
        <v>534</v>
      </c>
      <c r="H44" s="76" t="s">
        <v>429</v>
      </c>
      <c r="I44" s="76" t="s">
        <v>430</v>
      </c>
      <c r="J44" s="76" t="s">
        <v>384</v>
      </c>
      <c r="K44" s="76" t="s">
        <v>535</v>
      </c>
      <c r="L44" s="76" t="s">
        <v>391</v>
      </c>
      <c r="M44" s="76" t="s">
        <v>536</v>
      </c>
      <c r="N44" s="76">
        <v>30</v>
      </c>
      <c r="O44" s="76">
        <v>26</v>
      </c>
      <c r="P44" s="78">
        <v>0.1333</v>
      </c>
    </row>
    <row r="45" spans="7:16" x14ac:dyDescent="0.3">
      <c r="G45" t="s">
        <v>537</v>
      </c>
      <c r="H45" s="76" t="s">
        <v>388</v>
      </c>
      <c r="I45" s="76" t="s">
        <v>389</v>
      </c>
      <c r="J45" s="76" t="s">
        <v>384</v>
      </c>
      <c r="K45" s="76" t="s">
        <v>538</v>
      </c>
      <c r="L45" s="76" t="s">
        <v>405</v>
      </c>
      <c r="M45" s="76" t="s">
        <v>539</v>
      </c>
      <c r="N45" s="76">
        <v>800</v>
      </c>
      <c r="O45" s="76">
        <v>640</v>
      </c>
      <c r="P45" s="78">
        <v>0.2</v>
      </c>
    </row>
    <row r="46" spans="7:16" x14ac:dyDescent="0.3">
      <c r="G46" t="s">
        <v>540</v>
      </c>
      <c r="H46" s="76" t="s">
        <v>438</v>
      </c>
      <c r="I46" s="76" t="s">
        <v>439</v>
      </c>
      <c r="J46" s="76" t="s">
        <v>360</v>
      </c>
      <c r="K46" s="76" t="s">
        <v>541</v>
      </c>
      <c r="L46" s="76" t="s">
        <v>405</v>
      </c>
      <c r="M46" s="76" t="s">
        <v>542</v>
      </c>
      <c r="N46" s="76">
        <v>800</v>
      </c>
      <c r="O46" s="76">
        <v>520</v>
      </c>
      <c r="P46" s="78">
        <v>0.35</v>
      </c>
    </row>
    <row r="47" spans="7:16" x14ac:dyDescent="0.3">
      <c r="G47" t="s">
        <v>543</v>
      </c>
      <c r="H47" s="76" t="s">
        <v>473</v>
      </c>
      <c r="I47" s="76" t="s">
        <v>404</v>
      </c>
      <c r="J47" s="76" t="s">
        <v>360</v>
      </c>
      <c r="K47" s="76" t="s">
        <v>544</v>
      </c>
      <c r="L47" s="76" t="s">
        <v>475</v>
      </c>
      <c r="M47" s="76" t="s">
        <v>545</v>
      </c>
      <c r="N47" s="76">
        <v>250</v>
      </c>
      <c r="O47" s="76">
        <v>220</v>
      </c>
      <c r="P47" s="78">
        <v>0.12</v>
      </c>
    </row>
    <row r="48" spans="7:16" x14ac:dyDescent="0.3">
      <c r="G48" t="s">
        <v>546</v>
      </c>
      <c r="H48" s="76" t="s">
        <v>547</v>
      </c>
      <c r="I48" s="76" t="s">
        <v>548</v>
      </c>
      <c r="J48" s="76" t="s">
        <v>360</v>
      </c>
      <c r="K48" s="77">
        <v>42038</v>
      </c>
      <c r="L48" s="76" t="s">
        <v>373</v>
      </c>
      <c r="M48" s="76" t="s">
        <v>549</v>
      </c>
      <c r="N48" s="76">
        <v>700</v>
      </c>
      <c r="O48" s="76">
        <v>434</v>
      </c>
      <c r="P48" s="78">
        <v>0.38</v>
      </c>
    </row>
    <row r="49" spans="7:16" x14ac:dyDescent="0.3">
      <c r="G49" t="s">
        <v>550</v>
      </c>
      <c r="H49" s="76" t="s">
        <v>551</v>
      </c>
      <c r="I49" s="76" t="s">
        <v>552</v>
      </c>
      <c r="J49" s="76" t="s">
        <v>360</v>
      </c>
      <c r="K49" s="77">
        <v>42310</v>
      </c>
      <c r="L49" s="76" t="s">
        <v>361</v>
      </c>
      <c r="M49" s="76" t="s">
        <v>553</v>
      </c>
      <c r="N49" s="76">
        <v>80</v>
      </c>
      <c r="O49" s="76">
        <v>50</v>
      </c>
      <c r="P49" s="78">
        <v>0.375</v>
      </c>
    </row>
    <row r="50" spans="7:16" x14ac:dyDescent="0.3">
      <c r="G50" t="s">
        <v>554</v>
      </c>
      <c r="H50" s="76" t="s">
        <v>364</v>
      </c>
      <c r="I50" s="76" t="s">
        <v>365</v>
      </c>
      <c r="J50" s="76" t="s">
        <v>366</v>
      </c>
      <c r="K50" s="77">
        <v>42895</v>
      </c>
      <c r="L50" s="76" t="s">
        <v>475</v>
      </c>
      <c r="M50" s="76" t="s">
        <v>555</v>
      </c>
      <c r="N50" s="76">
        <v>250</v>
      </c>
      <c r="O50" s="76">
        <v>238</v>
      </c>
      <c r="P50" s="78">
        <v>4.8000000000000001E-2</v>
      </c>
    </row>
    <row r="51" spans="7:16" x14ac:dyDescent="0.3">
      <c r="G51" t="s">
        <v>556</v>
      </c>
      <c r="H51" s="76" t="s">
        <v>449</v>
      </c>
      <c r="I51" s="76" t="s">
        <v>450</v>
      </c>
      <c r="J51" s="76" t="s">
        <v>360</v>
      </c>
      <c r="K51" s="76" t="s">
        <v>557</v>
      </c>
      <c r="L51" s="76" t="s">
        <v>379</v>
      </c>
      <c r="M51" s="76" t="s">
        <v>558</v>
      </c>
      <c r="N51" s="76">
        <v>150</v>
      </c>
      <c r="O51" s="76">
        <v>140</v>
      </c>
      <c r="P51" s="78">
        <v>6.6699999999999995E-2</v>
      </c>
    </row>
    <row r="52" spans="7:16" x14ac:dyDescent="0.3">
      <c r="G52" t="s">
        <v>559</v>
      </c>
      <c r="H52" s="76" t="s">
        <v>560</v>
      </c>
      <c r="I52" s="76" t="s">
        <v>465</v>
      </c>
      <c r="J52" s="76" t="s">
        <v>366</v>
      </c>
      <c r="K52" s="76" t="s">
        <v>561</v>
      </c>
      <c r="L52" s="76" t="s">
        <v>411</v>
      </c>
      <c r="M52" s="76" t="s">
        <v>562</v>
      </c>
      <c r="N52" s="76">
        <v>1000</v>
      </c>
      <c r="O52" s="76">
        <v>740</v>
      </c>
      <c r="P52" s="78">
        <v>0.26</v>
      </c>
    </row>
    <row r="53" spans="7:16" x14ac:dyDescent="0.3">
      <c r="G53" t="s">
        <v>563</v>
      </c>
      <c r="H53" s="76" t="s">
        <v>519</v>
      </c>
      <c r="I53" s="76" t="s">
        <v>520</v>
      </c>
      <c r="J53" s="76" t="s">
        <v>360</v>
      </c>
      <c r="K53" s="77">
        <v>41888</v>
      </c>
      <c r="L53" s="76" t="s">
        <v>391</v>
      </c>
      <c r="M53" s="76" t="s">
        <v>564</v>
      </c>
      <c r="N53" s="76">
        <v>30</v>
      </c>
      <c r="O53" s="76">
        <v>25</v>
      </c>
      <c r="P53" s="78">
        <v>0.16669999999999999</v>
      </c>
    </row>
    <row r="54" spans="7:16" x14ac:dyDescent="0.3">
      <c r="G54" t="s">
        <v>565</v>
      </c>
      <c r="H54" s="76" t="s">
        <v>566</v>
      </c>
      <c r="I54" s="76" t="s">
        <v>567</v>
      </c>
      <c r="J54" s="76" t="s">
        <v>360</v>
      </c>
      <c r="K54" s="76" t="s">
        <v>568</v>
      </c>
      <c r="L54" s="76" t="s">
        <v>373</v>
      </c>
      <c r="M54" s="76" t="s">
        <v>569</v>
      </c>
      <c r="N54" s="76">
        <v>700</v>
      </c>
      <c r="O54" s="76">
        <v>665</v>
      </c>
      <c r="P54" s="78">
        <v>0.05</v>
      </c>
    </row>
    <row r="55" spans="7:16" x14ac:dyDescent="0.3">
      <c r="G55" t="s">
        <v>570</v>
      </c>
      <c r="H55" s="76" t="s">
        <v>459</v>
      </c>
      <c r="I55" s="76" t="s">
        <v>422</v>
      </c>
      <c r="J55" s="76" t="s">
        <v>384</v>
      </c>
      <c r="K55" s="76" t="s">
        <v>571</v>
      </c>
      <c r="L55" s="76" t="s">
        <v>396</v>
      </c>
      <c r="M55" s="76" t="s">
        <v>572</v>
      </c>
      <c r="N55" s="76">
        <v>500</v>
      </c>
      <c r="O55" s="76">
        <v>425</v>
      </c>
      <c r="P55" s="78">
        <v>0.15</v>
      </c>
    </row>
    <row r="56" spans="7:16" x14ac:dyDescent="0.3">
      <c r="G56" t="s">
        <v>573</v>
      </c>
      <c r="H56" s="76" t="s">
        <v>358</v>
      </c>
      <c r="I56" s="76" t="s">
        <v>359</v>
      </c>
      <c r="J56" s="76" t="s">
        <v>360</v>
      </c>
      <c r="K56" s="76" t="s">
        <v>574</v>
      </c>
      <c r="L56" s="76" t="s">
        <v>361</v>
      </c>
      <c r="M56" s="76" t="s">
        <v>575</v>
      </c>
      <c r="N56" s="76">
        <v>80</v>
      </c>
      <c r="O56" s="76">
        <v>78</v>
      </c>
      <c r="P56" s="78">
        <v>2.5000000000000001E-2</v>
      </c>
    </row>
    <row r="57" spans="7:16" x14ac:dyDescent="0.3">
      <c r="G57" t="s">
        <v>576</v>
      </c>
      <c r="H57" s="76" t="s">
        <v>434</v>
      </c>
      <c r="I57" s="76" t="s">
        <v>435</v>
      </c>
      <c r="J57" s="76" t="s">
        <v>360</v>
      </c>
      <c r="K57" s="77">
        <v>42282</v>
      </c>
      <c r="L57" s="76" t="s">
        <v>483</v>
      </c>
      <c r="M57" s="76" t="s">
        <v>577</v>
      </c>
      <c r="N57" s="76">
        <v>50</v>
      </c>
      <c r="O57" s="76">
        <v>39</v>
      </c>
      <c r="P57" s="78">
        <v>0.22</v>
      </c>
    </row>
    <row r="58" spans="7:16" x14ac:dyDescent="0.3">
      <c r="G58" t="s">
        <v>578</v>
      </c>
      <c r="H58" s="76" t="s">
        <v>382</v>
      </c>
      <c r="I58" s="76" t="s">
        <v>383</v>
      </c>
      <c r="J58" s="76" t="s">
        <v>384</v>
      </c>
      <c r="K58" s="76" t="s">
        <v>579</v>
      </c>
      <c r="L58" s="76" t="s">
        <v>391</v>
      </c>
      <c r="M58" s="76" t="s">
        <v>580</v>
      </c>
      <c r="N58" s="76">
        <v>30</v>
      </c>
      <c r="O58" s="76">
        <v>27</v>
      </c>
      <c r="P58" s="78">
        <v>0.1</v>
      </c>
    </row>
    <row r="59" spans="7:16" x14ac:dyDescent="0.3">
      <c r="G59" t="s">
        <v>581</v>
      </c>
      <c r="H59" s="76" t="s">
        <v>444</v>
      </c>
      <c r="I59" s="76" t="s">
        <v>445</v>
      </c>
      <c r="J59" s="76" t="s">
        <v>384</v>
      </c>
      <c r="K59" s="76" t="s">
        <v>582</v>
      </c>
      <c r="L59" s="76" t="s">
        <v>461</v>
      </c>
      <c r="M59" s="76" t="s">
        <v>583</v>
      </c>
      <c r="N59" s="76">
        <v>70</v>
      </c>
      <c r="O59" s="76">
        <v>64</v>
      </c>
      <c r="P59" s="78">
        <v>8.5699999999999998E-2</v>
      </c>
    </row>
    <row r="60" spans="7:16" x14ac:dyDescent="0.3">
      <c r="G60" t="s">
        <v>584</v>
      </c>
      <c r="H60" s="76" t="s">
        <v>394</v>
      </c>
      <c r="I60" s="76" t="s">
        <v>395</v>
      </c>
      <c r="J60" s="76" t="s">
        <v>372</v>
      </c>
      <c r="K60" s="76" t="s">
        <v>585</v>
      </c>
      <c r="L60" s="76" t="s">
        <v>385</v>
      </c>
      <c r="M60" s="76" t="s">
        <v>586</v>
      </c>
      <c r="N60" s="76">
        <v>50</v>
      </c>
      <c r="O60" s="76">
        <v>36</v>
      </c>
      <c r="P60" s="78">
        <v>0.28000000000000003</v>
      </c>
    </row>
    <row r="61" spans="7:16" x14ac:dyDescent="0.3">
      <c r="G61" t="s">
        <v>587</v>
      </c>
      <c r="H61" s="76" t="s">
        <v>560</v>
      </c>
      <c r="I61" s="76" t="s">
        <v>465</v>
      </c>
      <c r="J61" s="76" t="s">
        <v>366</v>
      </c>
      <c r="K61" s="76" t="s">
        <v>588</v>
      </c>
      <c r="L61" s="76" t="s">
        <v>483</v>
      </c>
      <c r="M61" s="76" t="s">
        <v>589</v>
      </c>
      <c r="N61" s="76">
        <v>50</v>
      </c>
      <c r="O61" s="76">
        <v>43</v>
      </c>
      <c r="P61" s="78">
        <v>0.14000000000000001</v>
      </c>
    </row>
    <row r="62" spans="7:16" x14ac:dyDescent="0.3">
      <c r="G62" t="s">
        <v>590</v>
      </c>
      <c r="H62" s="76" t="s">
        <v>591</v>
      </c>
      <c r="I62" s="76" t="s">
        <v>592</v>
      </c>
      <c r="J62" s="76" t="s">
        <v>372</v>
      </c>
      <c r="K62" s="77">
        <v>43104</v>
      </c>
      <c r="L62" s="76" t="s">
        <v>373</v>
      </c>
      <c r="M62" s="76" t="s">
        <v>593</v>
      </c>
      <c r="N62" s="76">
        <v>700</v>
      </c>
      <c r="O62" s="76">
        <v>693</v>
      </c>
      <c r="P62" s="78">
        <v>0.01</v>
      </c>
    </row>
    <row r="63" spans="7:16" x14ac:dyDescent="0.3">
      <c r="G63" t="s">
        <v>594</v>
      </c>
      <c r="H63" s="76" t="s">
        <v>547</v>
      </c>
      <c r="I63" s="76" t="s">
        <v>548</v>
      </c>
      <c r="J63" s="76" t="s">
        <v>360</v>
      </c>
      <c r="K63" s="76" t="s">
        <v>595</v>
      </c>
      <c r="L63" s="76" t="s">
        <v>411</v>
      </c>
      <c r="M63" s="76" t="s">
        <v>549</v>
      </c>
      <c r="N63" s="76">
        <v>1000</v>
      </c>
      <c r="O63" s="76">
        <v>810</v>
      </c>
      <c r="P63" s="78">
        <v>0.19</v>
      </c>
    </row>
    <row r="64" spans="7:16" x14ac:dyDescent="0.3">
      <c r="G64" t="s">
        <v>596</v>
      </c>
      <c r="H64" s="76" t="s">
        <v>489</v>
      </c>
      <c r="I64" s="76" t="s">
        <v>490</v>
      </c>
      <c r="J64" s="76" t="s">
        <v>360</v>
      </c>
      <c r="K64" s="77">
        <v>42070</v>
      </c>
      <c r="L64" s="76" t="s">
        <v>391</v>
      </c>
      <c r="M64" s="76" t="s">
        <v>597</v>
      </c>
      <c r="N64" s="76">
        <v>30</v>
      </c>
      <c r="O64" s="76">
        <v>24</v>
      </c>
      <c r="P64" s="78">
        <v>0.2</v>
      </c>
    </row>
    <row r="65" spans="7:16" x14ac:dyDescent="0.3">
      <c r="G65" t="s">
        <v>598</v>
      </c>
      <c r="H65" s="76" t="s">
        <v>494</v>
      </c>
      <c r="I65" s="76" t="s">
        <v>465</v>
      </c>
      <c r="J65" s="76" t="s">
        <v>366</v>
      </c>
      <c r="K65" s="76" t="s">
        <v>599</v>
      </c>
      <c r="L65" s="76" t="s">
        <v>405</v>
      </c>
      <c r="M65" s="76" t="s">
        <v>600</v>
      </c>
      <c r="N65" s="76">
        <v>800</v>
      </c>
      <c r="O65" s="76">
        <v>648</v>
      </c>
      <c r="P65" s="78">
        <v>0.19</v>
      </c>
    </row>
    <row r="66" spans="7:16" x14ac:dyDescent="0.3">
      <c r="G66" t="s">
        <v>601</v>
      </c>
      <c r="H66" s="76" t="s">
        <v>388</v>
      </c>
      <c r="I66" s="76" t="s">
        <v>389</v>
      </c>
      <c r="J66" s="76" t="s">
        <v>384</v>
      </c>
      <c r="K66" s="76" t="s">
        <v>602</v>
      </c>
      <c r="L66" s="76" t="s">
        <v>411</v>
      </c>
      <c r="M66" s="76" t="s">
        <v>603</v>
      </c>
      <c r="N66" s="76">
        <v>1000</v>
      </c>
      <c r="O66" s="76">
        <v>990</v>
      </c>
      <c r="P66" s="78">
        <v>0.01</v>
      </c>
    </row>
    <row r="67" spans="7:16" x14ac:dyDescent="0.3">
      <c r="G67" t="s">
        <v>604</v>
      </c>
      <c r="H67" s="76" t="s">
        <v>449</v>
      </c>
      <c r="I67" s="76" t="s">
        <v>450</v>
      </c>
      <c r="J67" s="76" t="s">
        <v>360</v>
      </c>
      <c r="K67" s="76" t="s">
        <v>605</v>
      </c>
      <c r="L67" s="76" t="s">
        <v>405</v>
      </c>
      <c r="M67" s="76" t="s">
        <v>606</v>
      </c>
      <c r="N67" s="76">
        <v>800</v>
      </c>
      <c r="O67" s="76">
        <v>720</v>
      </c>
      <c r="P67" s="78">
        <v>0.1</v>
      </c>
    </row>
    <row r="68" spans="7:16" x14ac:dyDescent="0.3">
      <c r="G68" t="s">
        <v>607</v>
      </c>
      <c r="H68" s="76" t="s">
        <v>388</v>
      </c>
      <c r="I68" s="76" t="s">
        <v>389</v>
      </c>
      <c r="J68" s="76" t="s">
        <v>384</v>
      </c>
      <c r="K68" s="77">
        <v>41741</v>
      </c>
      <c r="L68" s="76" t="s">
        <v>385</v>
      </c>
      <c r="M68" s="76" t="s">
        <v>392</v>
      </c>
      <c r="N68" s="76">
        <v>50</v>
      </c>
      <c r="O68" s="76">
        <v>39</v>
      </c>
      <c r="P68" s="78">
        <v>0.22</v>
      </c>
    </row>
    <row r="69" spans="7:16" x14ac:dyDescent="0.3">
      <c r="G69" t="s">
        <v>608</v>
      </c>
      <c r="H69" s="76" t="s">
        <v>551</v>
      </c>
      <c r="I69" s="76" t="s">
        <v>552</v>
      </c>
      <c r="J69" s="76" t="s">
        <v>360</v>
      </c>
      <c r="K69" s="77">
        <v>42655</v>
      </c>
      <c r="L69" s="76" t="s">
        <v>379</v>
      </c>
      <c r="M69" s="76" t="s">
        <v>609</v>
      </c>
      <c r="N69" s="76">
        <v>150</v>
      </c>
      <c r="O69" s="76">
        <v>144</v>
      </c>
      <c r="P69" s="78">
        <v>0.04</v>
      </c>
    </row>
    <row r="70" spans="7:16" x14ac:dyDescent="0.3">
      <c r="G70" t="s">
        <v>610</v>
      </c>
      <c r="H70" s="76" t="s">
        <v>611</v>
      </c>
      <c r="I70" s="76" t="s">
        <v>389</v>
      </c>
      <c r="J70" s="76" t="s">
        <v>384</v>
      </c>
      <c r="K70" s="76" t="s">
        <v>612</v>
      </c>
      <c r="L70" s="76" t="s">
        <v>373</v>
      </c>
      <c r="M70" s="76" t="s">
        <v>613</v>
      </c>
      <c r="N70" s="76">
        <v>700</v>
      </c>
      <c r="O70" s="76">
        <v>693</v>
      </c>
      <c r="P70" s="78">
        <v>0.01</v>
      </c>
    </row>
    <row r="71" spans="7:16" x14ac:dyDescent="0.3">
      <c r="G71" t="s">
        <v>614</v>
      </c>
      <c r="H71" s="76" t="s">
        <v>615</v>
      </c>
      <c r="I71" s="76" t="s">
        <v>400</v>
      </c>
      <c r="J71" s="76" t="s">
        <v>372</v>
      </c>
      <c r="K71" s="76" t="s">
        <v>616</v>
      </c>
      <c r="L71" s="76" t="s">
        <v>385</v>
      </c>
      <c r="M71" s="76" t="s">
        <v>617</v>
      </c>
      <c r="N71" s="76">
        <v>50</v>
      </c>
      <c r="O71" s="76">
        <v>45</v>
      </c>
      <c r="P71" s="78">
        <v>0.1</v>
      </c>
    </row>
    <row r="72" spans="7:16" x14ac:dyDescent="0.3">
      <c r="G72" t="s">
        <v>618</v>
      </c>
      <c r="H72" s="76" t="s">
        <v>619</v>
      </c>
      <c r="I72" s="76" t="s">
        <v>620</v>
      </c>
      <c r="J72" s="76" t="s">
        <v>372</v>
      </c>
      <c r="K72" s="77">
        <v>43110</v>
      </c>
      <c r="L72" s="76" t="s">
        <v>411</v>
      </c>
      <c r="M72" s="76" t="s">
        <v>621</v>
      </c>
      <c r="N72" s="76">
        <v>1000</v>
      </c>
      <c r="O72" s="76">
        <v>570</v>
      </c>
      <c r="P72" s="78">
        <v>0.43</v>
      </c>
    </row>
    <row r="73" spans="7:16" x14ac:dyDescent="0.3">
      <c r="G73" t="s">
        <v>622</v>
      </c>
      <c r="H73" s="76" t="s">
        <v>611</v>
      </c>
      <c r="I73" s="76" t="s">
        <v>389</v>
      </c>
      <c r="J73" s="76" t="s">
        <v>384</v>
      </c>
      <c r="K73" s="76" t="s">
        <v>623</v>
      </c>
      <c r="L73" s="76" t="s">
        <v>483</v>
      </c>
      <c r="M73" s="76" t="s">
        <v>624</v>
      </c>
      <c r="N73" s="76">
        <v>50</v>
      </c>
      <c r="O73" s="76">
        <v>40</v>
      </c>
      <c r="P73" s="78">
        <v>0.2</v>
      </c>
    </row>
    <row r="74" spans="7:16" x14ac:dyDescent="0.3">
      <c r="G74" t="s">
        <v>625</v>
      </c>
      <c r="H74" s="76" t="s">
        <v>489</v>
      </c>
      <c r="I74" s="76" t="s">
        <v>490</v>
      </c>
      <c r="J74" s="76" t="s">
        <v>360</v>
      </c>
      <c r="K74" s="76" t="s">
        <v>626</v>
      </c>
      <c r="L74" s="76" t="s">
        <v>405</v>
      </c>
      <c r="M74" s="76" t="s">
        <v>627</v>
      </c>
      <c r="N74" s="76">
        <v>800</v>
      </c>
      <c r="O74" s="76">
        <v>608</v>
      </c>
      <c r="P74" s="78">
        <v>0.24</v>
      </c>
    </row>
    <row r="75" spans="7:16" x14ac:dyDescent="0.3">
      <c r="G75" t="s">
        <v>628</v>
      </c>
      <c r="H75" s="76" t="s">
        <v>473</v>
      </c>
      <c r="I75" s="76" t="s">
        <v>404</v>
      </c>
      <c r="J75" s="76" t="s">
        <v>360</v>
      </c>
      <c r="K75" s="76" t="s">
        <v>629</v>
      </c>
      <c r="L75" s="76" t="s">
        <v>361</v>
      </c>
      <c r="M75" s="76" t="s">
        <v>630</v>
      </c>
      <c r="N75" s="76">
        <v>80</v>
      </c>
      <c r="O75" s="76">
        <v>76</v>
      </c>
      <c r="P75" s="78">
        <v>0.05</v>
      </c>
    </row>
    <row r="76" spans="7:16" x14ac:dyDescent="0.3">
      <c r="G76" t="s">
        <v>631</v>
      </c>
      <c r="H76" s="76" t="s">
        <v>566</v>
      </c>
      <c r="I76" s="76" t="s">
        <v>567</v>
      </c>
      <c r="J76" s="76" t="s">
        <v>360</v>
      </c>
      <c r="K76" s="76" t="s">
        <v>632</v>
      </c>
      <c r="L76" s="76" t="s">
        <v>373</v>
      </c>
      <c r="M76" s="76" t="s">
        <v>633</v>
      </c>
      <c r="N76" s="76">
        <v>700</v>
      </c>
      <c r="O76" s="76">
        <v>679</v>
      </c>
      <c r="P76" s="78">
        <v>0.03</v>
      </c>
    </row>
    <row r="77" spans="7:16" x14ac:dyDescent="0.3">
      <c r="G77" t="s">
        <v>634</v>
      </c>
      <c r="H77" s="76" t="s">
        <v>464</v>
      </c>
      <c r="I77" s="76" t="s">
        <v>465</v>
      </c>
      <c r="J77" s="76" t="s">
        <v>366</v>
      </c>
      <c r="K77" s="76" t="s">
        <v>635</v>
      </c>
      <c r="L77" s="76" t="s">
        <v>361</v>
      </c>
      <c r="M77" s="76" t="s">
        <v>636</v>
      </c>
      <c r="N77" s="76">
        <v>80</v>
      </c>
      <c r="O77" s="76">
        <v>58</v>
      </c>
      <c r="P77" s="78">
        <v>0.27500000000000002</v>
      </c>
    </row>
    <row r="78" spans="7:16" x14ac:dyDescent="0.3">
      <c r="G78" t="s">
        <v>637</v>
      </c>
      <c r="H78" s="76" t="s">
        <v>638</v>
      </c>
      <c r="I78" s="76" t="s">
        <v>639</v>
      </c>
      <c r="J78" s="76" t="s">
        <v>360</v>
      </c>
      <c r="K78" s="76" t="s">
        <v>640</v>
      </c>
      <c r="L78" s="76" t="s">
        <v>391</v>
      </c>
      <c r="M78" s="76" t="s">
        <v>641</v>
      </c>
      <c r="N78" s="76">
        <v>30</v>
      </c>
      <c r="O78" s="76">
        <v>26</v>
      </c>
      <c r="P78" s="78">
        <v>0.1333</v>
      </c>
    </row>
    <row r="79" spans="7:16" x14ac:dyDescent="0.3">
      <c r="G79" t="s">
        <v>642</v>
      </c>
      <c r="H79" s="76" t="s">
        <v>611</v>
      </c>
      <c r="I79" s="76" t="s">
        <v>389</v>
      </c>
      <c r="J79" s="76" t="s">
        <v>384</v>
      </c>
      <c r="K79" s="77">
        <v>42896</v>
      </c>
      <c r="L79" s="76" t="s">
        <v>379</v>
      </c>
      <c r="M79" s="76" t="s">
        <v>643</v>
      </c>
      <c r="N79" s="76">
        <v>150</v>
      </c>
      <c r="O79" s="76">
        <v>140</v>
      </c>
      <c r="P79" s="78">
        <v>6.6699999999999995E-2</v>
      </c>
    </row>
    <row r="80" spans="7:16" x14ac:dyDescent="0.3">
      <c r="G80" t="s">
        <v>644</v>
      </c>
      <c r="H80" s="76" t="s">
        <v>459</v>
      </c>
      <c r="I80" s="76" t="s">
        <v>422</v>
      </c>
      <c r="J80" s="76" t="s">
        <v>384</v>
      </c>
      <c r="K80" s="76" t="s">
        <v>645</v>
      </c>
      <c r="L80" s="76" t="s">
        <v>424</v>
      </c>
      <c r="M80" s="76" t="s">
        <v>646</v>
      </c>
      <c r="N80" s="76">
        <v>500</v>
      </c>
      <c r="O80" s="76">
        <v>490</v>
      </c>
      <c r="P80" s="78">
        <v>0.02</v>
      </c>
    </row>
    <row r="81" spans="7:16" x14ac:dyDescent="0.3">
      <c r="G81" t="s">
        <v>647</v>
      </c>
      <c r="H81" s="76" t="s">
        <v>376</v>
      </c>
      <c r="I81" s="76" t="s">
        <v>377</v>
      </c>
      <c r="J81" s="76" t="s">
        <v>360</v>
      </c>
      <c r="K81" s="76" t="s">
        <v>648</v>
      </c>
      <c r="L81" s="76" t="s">
        <v>475</v>
      </c>
      <c r="M81" s="76" t="s">
        <v>649</v>
      </c>
      <c r="N81" s="76">
        <v>250</v>
      </c>
      <c r="O81" s="76">
        <v>155</v>
      </c>
      <c r="P81" s="78">
        <v>0.38</v>
      </c>
    </row>
    <row r="82" spans="7:16" x14ac:dyDescent="0.3">
      <c r="G82" t="s">
        <v>650</v>
      </c>
      <c r="H82" s="76" t="s">
        <v>591</v>
      </c>
      <c r="I82" s="76" t="s">
        <v>592</v>
      </c>
      <c r="J82" s="76" t="s">
        <v>372</v>
      </c>
      <c r="K82" s="76" t="s">
        <v>651</v>
      </c>
      <c r="L82" s="76" t="s">
        <v>461</v>
      </c>
      <c r="M82" s="76" t="s">
        <v>652</v>
      </c>
      <c r="N82" s="76">
        <v>70</v>
      </c>
      <c r="O82" s="76">
        <v>48</v>
      </c>
      <c r="P82" s="78">
        <v>0.31430000000000002</v>
      </c>
    </row>
    <row r="83" spans="7:16" x14ac:dyDescent="0.3">
      <c r="G83" t="s">
        <v>653</v>
      </c>
      <c r="H83" s="76" t="s">
        <v>394</v>
      </c>
      <c r="I83" s="76" t="s">
        <v>395</v>
      </c>
      <c r="J83" s="76" t="s">
        <v>372</v>
      </c>
      <c r="K83" s="77">
        <v>43408</v>
      </c>
      <c r="L83" s="76" t="s">
        <v>461</v>
      </c>
      <c r="M83" s="76" t="s">
        <v>654</v>
      </c>
      <c r="N83" s="76">
        <v>70</v>
      </c>
      <c r="O83" s="76">
        <v>69</v>
      </c>
      <c r="P83" s="78">
        <v>1.43E-2</v>
      </c>
    </row>
    <row r="84" spans="7:16" x14ac:dyDescent="0.3">
      <c r="G84" t="s">
        <v>655</v>
      </c>
      <c r="H84" s="76" t="s">
        <v>656</v>
      </c>
      <c r="I84" s="76" t="s">
        <v>657</v>
      </c>
      <c r="J84" s="76" t="s">
        <v>360</v>
      </c>
      <c r="K84" s="76" t="s">
        <v>658</v>
      </c>
      <c r="L84" s="76" t="s">
        <v>385</v>
      </c>
      <c r="M84" s="76" t="s">
        <v>659</v>
      </c>
      <c r="N84" s="76">
        <v>50</v>
      </c>
      <c r="O84" s="76">
        <v>47</v>
      </c>
      <c r="P84" s="78">
        <v>0.06</v>
      </c>
    </row>
    <row r="85" spans="7:16" x14ac:dyDescent="0.3">
      <c r="G85" t="s">
        <v>660</v>
      </c>
      <c r="H85" s="76" t="s">
        <v>370</v>
      </c>
      <c r="I85" s="76" t="s">
        <v>371</v>
      </c>
      <c r="J85" s="76" t="s">
        <v>372</v>
      </c>
      <c r="K85" s="76" t="s">
        <v>661</v>
      </c>
      <c r="L85" s="76" t="s">
        <v>475</v>
      </c>
      <c r="M85" s="76" t="s">
        <v>374</v>
      </c>
      <c r="N85" s="76">
        <v>250</v>
      </c>
      <c r="O85" s="76">
        <v>195</v>
      </c>
      <c r="P85" s="78">
        <v>0.22</v>
      </c>
    </row>
    <row r="86" spans="7:16" x14ac:dyDescent="0.3">
      <c r="G86" t="s">
        <v>662</v>
      </c>
      <c r="H86" s="76" t="s">
        <v>611</v>
      </c>
      <c r="I86" s="76" t="s">
        <v>389</v>
      </c>
      <c r="J86" s="76" t="s">
        <v>384</v>
      </c>
      <c r="K86" s="77">
        <v>43293</v>
      </c>
      <c r="L86" s="76" t="s">
        <v>405</v>
      </c>
      <c r="M86" s="76" t="s">
        <v>663</v>
      </c>
      <c r="N86" s="76">
        <v>800</v>
      </c>
      <c r="O86" s="76">
        <v>512</v>
      </c>
      <c r="P86" s="78">
        <v>0.36</v>
      </c>
    </row>
    <row r="87" spans="7:16" x14ac:dyDescent="0.3">
      <c r="G87" t="s">
        <v>664</v>
      </c>
      <c r="H87" s="76" t="s">
        <v>611</v>
      </c>
      <c r="I87" s="76" t="s">
        <v>389</v>
      </c>
      <c r="J87" s="76" t="s">
        <v>384</v>
      </c>
      <c r="K87" s="76" t="s">
        <v>665</v>
      </c>
      <c r="L87" s="76" t="s">
        <v>361</v>
      </c>
      <c r="M87" s="76" t="s">
        <v>666</v>
      </c>
      <c r="N87" s="76">
        <v>80</v>
      </c>
      <c r="O87" s="76">
        <v>79</v>
      </c>
      <c r="P87" s="78">
        <v>1.2500000000000001E-2</v>
      </c>
    </row>
    <row r="88" spans="7:16" x14ac:dyDescent="0.3">
      <c r="G88" t="s">
        <v>667</v>
      </c>
      <c r="H88" s="76" t="s">
        <v>668</v>
      </c>
      <c r="I88" s="76" t="s">
        <v>669</v>
      </c>
      <c r="J88" s="76" t="s">
        <v>360</v>
      </c>
      <c r="K88" s="76" t="s">
        <v>670</v>
      </c>
      <c r="L88" s="76" t="s">
        <v>461</v>
      </c>
      <c r="M88" s="76" t="s">
        <v>671</v>
      </c>
      <c r="N88" s="76">
        <v>70</v>
      </c>
      <c r="O88" s="76">
        <v>50</v>
      </c>
      <c r="P88" s="78">
        <v>0.28570000000000001</v>
      </c>
    </row>
    <row r="89" spans="7:16" x14ac:dyDescent="0.3">
      <c r="G89" t="s">
        <v>672</v>
      </c>
      <c r="H89" s="76" t="s">
        <v>494</v>
      </c>
      <c r="I89" s="76" t="s">
        <v>465</v>
      </c>
      <c r="J89" s="76" t="s">
        <v>366</v>
      </c>
      <c r="K89" s="76" t="s">
        <v>571</v>
      </c>
      <c r="L89" s="76" t="s">
        <v>379</v>
      </c>
      <c r="M89" s="76" t="s">
        <v>673</v>
      </c>
      <c r="N89" s="76">
        <v>150</v>
      </c>
      <c r="O89" s="76">
        <v>150</v>
      </c>
      <c r="P89" s="78">
        <v>0</v>
      </c>
    </row>
    <row r="90" spans="7:16" x14ac:dyDescent="0.3">
      <c r="G90" t="s">
        <v>674</v>
      </c>
      <c r="H90" s="76" t="s">
        <v>675</v>
      </c>
      <c r="I90" s="76" t="s">
        <v>676</v>
      </c>
      <c r="J90" s="76" t="s">
        <v>384</v>
      </c>
      <c r="K90" s="76" t="s">
        <v>677</v>
      </c>
      <c r="L90" s="76" t="s">
        <v>461</v>
      </c>
      <c r="M90" s="76" t="s">
        <v>678</v>
      </c>
      <c r="N90" s="76">
        <v>70</v>
      </c>
      <c r="O90" s="76">
        <v>64</v>
      </c>
      <c r="P90" s="78">
        <v>8.5699999999999998E-2</v>
      </c>
    </row>
    <row r="91" spans="7:16" x14ac:dyDescent="0.3">
      <c r="G91" t="s">
        <v>679</v>
      </c>
      <c r="H91" s="76" t="s">
        <v>547</v>
      </c>
      <c r="I91" s="76" t="s">
        <v>548</v>
      </c>
      <c r="J91" s="76" t="s">
        <v>360</v>
      </c>
      <c r="K91" s="77">
        <v>42066</v>
      </c>
      <c r="L91" s="76" t="s">
        <v>385</v>
      </c>
      <c r="M91" s="76" t="s">
        <v>680</v>
      </c>
      <c r="N91" s="76">
        <v>50</v>
      </c>
      <c r="O91" s="76">
        <v>46</v>
      </c>
      <c r="P91" s="78">
        <v>0.08</v>
      </c>
    </row>
    <row r="92" spans="7:16" x14ac:dyDescent="0.3">
      <c r="G92" t="s">
        <v>681</v>
      </c>
      <c r="H92" s="76" t="s">
        <v>358</v>
      </c>
      <c r="I92" s="76" t="s">
        <v>359</v>
      </c>
      <c r="J92" s="76" t="s">
        <v>360</v>
      </c>
      <c r="K92" s="76" t="s">
        <v>682</v>
      </c>
      <c r="L92" s="76" t="s">
        <v>411</v>
      </c>
      <c r="M92" s="76" t="s">
        <v>683</v>
      </c>
      <c r="N92" s="76">
        <v>1000</v>
      </c>
      <c r="O92" s="76">
        <v>880</v>
      </c>
      <c r="P92" s="78">
        <v>0.12</v>
      </c>
    </row>
    <row r="93" spans="7:16" x14ac:dyDescent="0.3">
      <c r="G93" t="s">
        <v>684</v>
      </c>
      <c r="H93" s="76" t="s">
        <v>619</v>
      </c>
      <c r="I93" s="76" t="s">
        <v>620</v>
      </c>
      <c r="J93" s="76" t="s">
        <v>372</v>
      </c>
      <c r="K93" s="77">
        <v>41642</v>
      </c>
      <c r="L93" s="76" t="s">
        <v>405</v>
      </c>
      <c r="M93" s="76" t="s">
        <v>685</v>
      </c>
      <c r="N93" s="76">
        <v>800</v>
      </c>
      <c r="O93" s="76">
        <v>712</v>
      </c>
      <c r="P93" s="78">
        <v>0.11</v>
      </c>
    </row>
    <row r="94" spans="7:16" x14ac:dyDescent="0.3">
      <c r="G94" t="s">
        <v>686</v>
      </c>
      <c r="H94" s="76" t="s">
        <v>414</v>
      </c>
      <c r="I94" s="76" t="s">
        <v>415</v>
      </c>
      <c r="J94" s="76" t="s">
        <v>384</v>
      </c>
      <c r="K94" s="76" t="s">
        <v>687</v>
      </c>
      <c r="L94" s="76" t="s">
        <v>411</v>
      </c>
      <c r="M94" s="76" t="s">
        <v>688</v>
      </c>
      <c r="N94" s="76">
        <v>1000</v>
      </c>
      <c r="O94" s="76">
        <v>740</v>
      </c>
      <c r="P94" s="78">
        <v>0.26</v>
      </c>
    </row>
    <row r="95" spans="7:16" x14ac:dyDescent="0.3">
      <c r="G95" t="s">
        <v>689</v>
      </c>
      <c r="H95" s="76" t="s">
        <v>434</v>
      </c>
      <c r="I95" s="76" t="s">
        <v>435</v>
      </c>
      <c r="J95" s="76" t="s">
        <v>360</v>
      </c>
      <c r="K95" s="76" t="s">
        <v>690</v>
      </c>
      <c r="L95" s="76" t="s">
        <v>483</v>
      </c>
      <c r="M95" s="76" t="s">
        <v>691</v>
      </c>
      <c r="N95" s="76">
        <v>50</v>
      </c>
      <c r="O95" s="76">
        <v>35</v>
      </c>
      <c r="P95" s="78">
        <v>0.3</v>
      </c>
    </row>
    <row r="96" spans="7:16" x14ac:dyDescent="0.3">
      <c r="G96" t="s">
        <v>692</v>
      </c>
      <c r="H96" s="76" t="s">
        <v>449</v>
      </c>
      <c r="I96" s="76" t="s">
        <v>450</v>
      </c>
      <c r="J96" s="76" t="s">
        <v>360</v>
      </c>
      <c r="K96" s="76" t="s">
        <v>693</v>
      </c>
      <c r="L96" s="76" t="s">
        <v>405</v>
      </c>
      <c r="M96" s="76" t="s">
        <v>452</v>
      </c>
      <c r="N96" s="76">
        <v>800</v>
      </c>
      <c r="O96" s="76">
        <v>704</v>
      </c>
      <c r="P96" s="78">
        <v>0.12</v>
      </c>
    </row>
    <row r="97" spans="7:16" x14ac:dyDescent="0.3">
      <c r="G97" t="s">
        <v>694</v>
      </c>
      <c r="H97" s="76" t="s">
        <v>444</v>
      </c>
      <c r="I97" s="76" t="s">
        <v>445</v>
      </c>
      <c r="J97" s="76" t="s">
        <v>384</v>
      </c>
      <c r="K97" s="77">
        <v>43316</v>
      </c>
      <c r="L97" s="76" t="s">
        <v>411</v>
      </c>
      <c r="M97" s="76" t="s">
        <v>695</v>
      </c>
      <c r="N97" s="76">
        <v>1000</v>
      </c>
      <c r="O97" s="76">
        <v>930</v>
      </c>
      <c r="P97" s="78">
        <v>7.0000000000000007E-2</v>
      </c>
    </row>
    <row r="98" spans="7:16" x14ac:dyDescent="0.3">
      <c r="G98" t="s">
        <v>696</v>
      </c>
      <c r="H98" s="76" t="s">
        <v>638</v>
      </c>
      <c r="I98" s="76" t="s">
        <v>639</v>
      </c>
      <c r="J98" s="76" t="s">
        <v>360</v>
      </c>
      <c r="K98" s="76" t="s">
        <v>697</v>
      </c>
      <c r="L98" s="76" t="s">
        <v>396</v>
      </c>
      <c r="M98" s="76" t="s">
        <v>698</v>
      </c>
      <c r="N98" s="76">
        <v>500</v>
      </c>
      <c r="O98" s="76">
        <v>455</v>
      </c>
      <c r="P98" s="78">
        <v>0.09</v>
      </c>
    </row>
    <row r="99" spans="7:16" x14ac:dyDescent="0.3">
      <c r="G99" t="s">
        <v>699</v>
      </c>
      <c r="H99" s="76" t="s">
        <v>700</v>
      </c>
      <c r="I99" s="76" t="s">
        <v>465</v>
      </c>
      <c r="J99" s="76" t="s">
        <v>366</v>
      </c>
      <c r="K99" s="76" t="s">
        <v>701</v>
      </c>
      <c r="L99" s="76" t="s">
        <v>373</v>
      </c>
      <c r="M99" s="76" t="s">
        <v>702</v>
      </c>
      <c r="N99" s="76">
        <v>700</v>
      </c>
      <c r="O99" s="76">
        <v>700</v>
      </c>
      <c r="P99" s="78">
        <v>0</v>
      </c>
    </row>
    <row r="100" spans="7:16" x14ac:dyDescent="0.3">
      <c r="G100" t="s">
        <v>703</v>
      </c>
      <c r="H100" s="76" t="s">
        <v>675</v>
      </c>
      <c r="I100" s="76" t="s">
        <v>676</v>
      </c>
      <c r="J100" s="76" t="s">
        <v>384</v>
      </c>
      <c r="K100" s="77">
        <v>42686</v>
      </c>
      <c r="L100" s="76" t="s">
        <v>361</v>
      </c>
      <c r="M100" s="76" t="s">
        <v>678</v>
      </c>
      <c r="N100" s="76">
        <v>80</v>
      </c>
      <c r="O100" s="76">
        <v>77</v>
      </c>
      <c r="P100" s="78">
        <v>3.7499999999999999E-2</v>
      </c>
    </row>
    <row r="101" spans="7:16" x14ac:dyDescent="0.3">
      <c r="G101" t="s">
        <v>704</v>
      </c>
      <c r="H101" s="76" t="s">
        <v>358</v>
      </c>
      <c r="I101" s="76" t="s">
        <v>359</v>
      </c>
      <c r="J101" s="76" t="s">
        <v>360</v>
      </c>
      <c r="K101" s="76" t="s">
        <v>705</v>
      </c>
      <c r="L101" s="76" t="s">
        <v>391</v>
      </c>
      <c r="M101" s="76" t="s">
        <v>706</v>
      </c>
      <c r="N101" s="76">
        <v>30</v>
      </c>
      <c r="O101" s="76">
        <v>29</v>
      </c>
      <c r="P101" s="78">
        <v>3.3300000000000003E-2</v>
      </c>
    </row>
    <row r="102" spans="7:16" x14ac:dyDescent="0.3">
      <c r="G102" t="s">
        <v>707</v>
      </c>
      <c r="H102" s="76" t="s">
        <v>469</v>
      </c>
      <c r="I102" s="76" t="s">
        <v>435</v>
      </c>
      <c r="J102" s="76" t="s">
        <v>360</v>
      </c>
      <c r="K102" s="77">
        <v>42859</v>
      </c>
      <c r="L102" s="76" t="s">
        <v>483</v>
      </c>
      <c r="M102" s="76" t="s">
        <v>708</v>
      </c>
      <c r="N102" s="76">
        <v>50</v>
      </c>
      <c r="O102" s="76">
        <v>50</v>
      </c>
      <c r="P102" s="78">
        <v>0</v>
      </c>
    </row>
    <row r="103" spans="7:16" x14ac:dyDescent="0.3">
      <c r="G103" t="s">
        <v>709</v>
      </c>
      <c r="H103" s="76" t="s">
        <v>358</v>
      </c>
      <c r="I103" s="76" t="s">
        <v>359</v>
      </c>
      <c r="J103" s="76" t="s">
        <v>360</v>
      </c>
      <c r="K103" s="76" t="s">
        <v>710</v>
      </c>
      <c r="L103" s="76" t="s">
        <v>373</v>
      </c>
      <c r="M103" s="76" t="s">
        <v>575</v>
      </c>
      <c r="N103" s="76">
        <v>700</v>
      </c>
      <c r="O103" s="76">
        <v>679</v>
      </c>
      <c r="P103" s="78">
        <v>0.03</v>
      </c>
    </row>
    <row r="104" spans="7:16" x14ac:dyDescent="0.3">
      <c r="G104" t="s">
        <v>711</v>
      </c>
      <c r="H104" s="76" t="s">
        <v>388</v>
      </c>
      <c r="I104" s="76" t="s">
        <v>389</v>
      </c>
      <c r="J104" s="76" t="s">
        <v>384</v>
      </c>
      <c r="K104" s="76" t="s">
        <v>712</v>
      </c>
      <c r="L104" s="76" t="s">
        <v>483</v>
      </c>
      <c r="M104" s="76" t="s">
        <v>392</v>
      </c>
      <c r="N104" s="76">
        <v>50</v>
      </c>
      <c r="O104" s="76">
        <v>45</v>
      </c>
      <c r="P104" s="78">
        <v>0.1</v>
      </c>
    </row>
    <row r="105" spans="7:16" x14ac:dyDescent="0.3">
      <c r="G105" t="s">
        <v>713</v>
      </c>
      <c r="H105" s="76" t="s">
        <v>414</v>
      </c>
      <c r="I105" s="76" t="s">
        <v>415</v>
      </c>
      <c r="J105" s="76" t="s">
        <v>384</v>
      </c>
      <c r="K105" s="76" t="s">
        <v>714</v>
      </c>
      <c r="L105" s="76" t="s">
        <v>391</v>
      </c>
      <c r="M105" s="76" t="s">
        <v>715</v>
      </c>
      <c r="N105" s="76">
        <v>30</v>
      </c>
      <c r="O105" s="76">
        <v>30</v>
      </c>
      <c r="P105" s="78">
        <v>0</v>
      </c>
    </row>
    <row r="106" spans="7:16" x14ac:dyDescent="0.3">
      <c r="G106" t="s">
        <v>716</v>
      </c>
      <c r="H106" s="76" t="s">
        <v>394</v>
      </c>
      <c r="I106" s="76" t="s">
        <v>395</v>
      </c>
      <c r="J106" s="76" t="s">
        <v>372</v>
      </c>
      <c r="K106" s="76" t="s">
        <v>717</v>
      </c>
      <c r="L106" s="76" t="s">
        <v>391</v>
      </c>
      <c r="M106" s="76" t="s">
        <v>718</v>
      </c>
      <c r="N106" s="76">
        <v>30</v>
      </c>
      <c r="O106" s="76">
        <v>30</v>
      </c>
      <c r="P106" s="78">
        <v>0</v>
      </c>
    </row>
    <row r="107" spans="7:16" x14ac:dyDescent="0.3">
      <c r="G107" t="s">
        <v>719</v>
      </c>
      <c r="H107" s="76" t="s">
        <v>489</v>
      </c>
      <c r="I107" s="76" t="s">
        <v>490</v>
      </c>
      <c r="J107" s="76" t="s">
        <v>360</v>
      </c>
      <c r="K107" s="76" t="s">
        <v>720</v>
      </c>
      <c r="L107" s="76" t="s">
        <v>361</v>
      </c>
      <c r="M107" s="76" t="s">
        <v>597</v>
      </c>
      <c r="N107" s="76">
        <v>80</v>
      </c>
      <c r="O107" s="76">
        <v>62</v>
      </c>
      <c r="P107" s="78">
        <v>0.22500000000000001</v>
      </c>
    </row>
    <row r="108" spans="7:16" x14ac:dyDescent="0.3">
      <c r="G108" t="s">
        <v>721</v>
      </c>
      <c r="H108" s="76" t="s">
        <v>528</v>
      </c>
      <c r="I108" s="76" t="s">
        <v>465</v>
      </c>
      <c r="J108" s="76" t="s">
        <v>366</v>
      </c>
      <c r="K108" s="76" t="s">
        <v>722</v>
      </c>
      <c r="L108" s="76" t="s">
        <v>361</v>
      </c>
      <c r="M108" s="76" t="s">
        <v>723</v>
      </c>
      <c r="N108" s="76">
        <v>80</v>
      </c>
      <c r="O108" s="76">
        <v>76</v>
      </c>
      <c r="P108" s="78">
        <v>0.05</v>
      </c>
    </row>
    <row r="109" spans="7:16" x14ac:dyDescent="0.3">
      <c r="G109" t="s">
        <v>724</v>
      </c>
      <c r="H109" s="76" t="s">
        <v>519</v>
      </c>
      <c r="I109" s="76" t="s">
        <v>520</v>
      </c>
      <c r="J109" s="76" t="s">
        <v>360</v>
      </c>
      <c r="K109" s="76" t="s">
        <v>725</v>
      </c>
      <c r="L109" s="76" t="s">
        <v>385</v>
      </c>
      <c r="M109" s="76" t="s">
        <v>726</v>
      </c>
      <c r="N109" s="76">
        <v>50</v>
      </c>
      <c r="O109" s="76">
        <v>45</v>
      </c>
      <c r="P109" s="78">
        <v>0.1</v>
      </c>
    </row>
    <row r="110" spans="7:16" x14ac:dyDescent="0.3">
      <c r="G110" t="s">
        <v>727</v>
      </c>
      <c r="H110" s="76" t="s">
        <v>668</v>
      </c>
      <c r="I110" s="76" t="s">
        <v>669</v>
      </c>
      <c r="J110" s="76" t="s">
        <v>360</v>
      </c>
      <c r="K110" s="77">
        <v>42252</v>
      </c>
      <c r="L110" s="76" t="s">
        <v>411</v>
      </c>
      <c r="M110" s="76" t="s">
        <v>728</v>
      </c>
      <c r="N110" s="76">
        <v>1000</v>
      </c>
      <c r="O110" s="76">
        <v>610</v>
      </c>
      <c r="P110" s="78">
        <v>0.39</v>
      </c>
    </row>
    <row r="111" spans="7:16" x14ac:dyDescent="0.3">
      <c r="G111" t="s">
        <v>729</v>
      </c>
      <c r="H111" s="76" t="s">
        <v>370</v>
      </c>
      <c r="I111" s="76" t="s">
        <v>371</v>
      </c>
      <c r="J111" s="76" t="s">
        <v>372</v>
      </c>
      <c r="K111" s="76" t="s">
        <v>730</v>
      </c>
      <c r="L111" s="76" t="s">
        <v>461</v>
      </c>
      <c r="M111" s="76" t="s">
        <v>731</v>
      </c>
      <c r="N111" s="76">
        <v>70</v>
      </c>
      <c r="O111" s="76">
        <v>67</v>
      </c>
      <c r="P111" s="78">
        <v>4.2900000000000001E-2</v>
      </c>
    </row>
    <row r="112" spans="7:16" x14ac:dyDescent="0.3">
      <c r="G112" t="s">
        <v>732</v>
      </c>
      <c r="H112" s="76" t="s">
        <v>409</v>
      </c>
      <c r="I112" s="76" t="s">
        <v>410</v>
      </c>
      <c r="J112" s="76" t="s">
        <v>360</v>
      </c>
      <c r="K112" s="77">
        <v>43012</v>
      </c>
      <c r="L112" s="76" t="s">
        <v>461</v>
      </c>
      <c r="M112" s="76" t="s">
        <v>733</v>
      </c>
      <c r="N112" s="76">
        <v>70</v>
      </c>
      <c r="O112" s="76">
        <v>68</v>
      </c>
      <c r="P112" s="78">
        <v>2.86E-2</v>
      </c>
    </row>
    <row r="113" spans="7:16" x14ac:dyDescent="0.3">
      <c r="G113" t="s">
        <v>734</v>
      </c>
      <c r="H113" s="76" t="s">
        <v>668</v>
      </c>
      <c r="I113" s="76" t="s">
        <v>669</v>
      </c>
      <c r="J113" s="76" t="s">
        <v>360</v>
      </c>
      <c r="K113" s="76" t="s">
        <v>735</v>
      </c>
      <c r="L113" s="76" t="s">
        <v>385</v>
      </c>
      <c r="M113" s="76" t="s">
        <v>736</v>
      </c>
      <c r="N113" s="76">
        <v>50</v>
      </c>
      <c r="O113" s="76">
        <v>50</v>
      </c>
      <c r="P113" s="78">
        <v>0</v>
      </c>
    </row>
    <row r="114" spans="7:16" x14ac:dyDescent="0.3">
      <c r="G114" t="s">
        <v>737</v>
      </c>
      <c r="H114" s="76" t="s">
        <v>489</v>
      </c>
      <c r="I114" s="76" t="s">
        <v>490</v>
      </c>
      <c r="J114" s="76" t="s">
        <v>360</v>
      </c>
      <c r="K114" s="76" t="s">
        <v>738</v>
      </c>
      <c r="L114" s="76" t="s">
        <v>424</v>
      </c>
      <c r="M114" s="76" t="s">
        <v>492</v>
      </c>
      <c r="N114" s="76">
        <v>500</v>
      </c>
      <c r="O114" s="76">
        <v>495</v>
      </c>
      <c r="P114" s="78">
        <v>0.01</v>
      </c>
    </row>
    <row r="115" spans="7:16" x14ac:dyDescent="0.3">
      <c r="G115" t="s">
        <v>739</v>
      </c>
      <c r="H115" s="76" t="s">
        <v>429</v>
      </c>
      <c r="I115" s="76" t="s">
        <v>430</v>
      </c>
      <c r="J115" s="76" t="s">
        <v>384</v>
      </c>
      <c r="K115" s="77">
        <v>41829</v>
      </c>
      <c r="L115" s="76" t="s">
        <v>461</v>
      </c>
      <c r="M115" s="76" t="s">
        <v>740</v>
      </c>
      <c r="N115" s="76">
        <v>70</v>
      </c>
      <c r="O115" s="76">
        <v>62</v>
      </c>
      <c r="P115" s="78">
        <v>0.1143</v>
      </c>
    </row>
    <row r="116" spans="7:16" x14ac:dyDescent="0.3">
      <c r="G116" t="s">
        <v>741</v>
      </c>
      <c r="H116" s="76" t="s">
        <v>551</v>
      </c>
      <c r="I116" s="76" t="s">
        <v>552</v>
      </c>
      <c r="J116" s="76" t="s">
        <v>360</v>
      </c>
      <c r="K116" s="77">
        <v>42836</v>
      </c>
      <c r="L116" s="76" t="s">
        <v>424</v>
      </c>
      <c r="M116" s="76" t="s">
        <v>742</v>
      </c>
      <c r="N116" s="76">
        <v>500</v>
      </c>
      <c r="O116" s="76">
        <v>490</v>
      </c>
      <c r="P116" s="78">
        <v>0.02</v>
      </c>
    </row>
    <row r="117" spans="7:16" x14ac:dyDescent="0.3">
      <c r="G117" t="s">
        <v>743</v>
      </c>
      <c r="H117" s="76" t="s">
        <v>394</v>
      </c>
      <c r="I117" s="76" t="s">
        <v>395</v>
      </c>
      <c r="J117" s="76" t="s">
        <v>372</v>
      </c>
      <c r="K117" s="77">
        <v>43042</v>
      </c>
      <c r="L117" s="76" t="s">
        <v>361</v>
      </c>
      <c r="M117" s="76" t="s">
        <v>744</v>
      </c>
      <c r="N117" s="76">
        <v>80</v>
      </c>
      <c r="O117" s="76">
        <v>73</v>
      </c>
      <c r="P117" s="78">
        <v>8.7499999999999994E-2</v>
      </c>
    </row>
    <row r="118" spans="7:16" x14ac:dyDescent="0.3">
      <c r="G118" t="s">
        <v>745</v>
      </c>
      <c r="H118" s="76" t="s">
        <v>376</v>
      </c>
      <c r="I118" s="76" t="s">
        <v>377</v>
      </c>
      <c r="J118" s="76" t="s">
        <v>360</v>
      </c>
      <c r="K118" s="77">
        <v>42675</v>
      </c>
      <c r="L118" s="76" t="s">
        <v>373</v>
      </c>
      <c r="M118" s="76" t="s">
        <v>380</v>
      </c>
      <c r="N118" s="76">
        <v>700</v>
      </c>
      <c r="O118" s="76">
        <v>616</v>
      </c>
      <c r="P118" s="78">
        <v>0.12</v>
      </c>
    </row>
    <row r="119" spans="7:16" x14ac:dyDescent="0.3">
      <c r="G119" t="s">
        <v>746</v>
      </c>
      <c r="H119" s="76" t="s">
        <v>747</v>
      </c>
      <c r="I119" s="76" t="s">
        <v>748</v>
      </c>
      <c r="J119" s="76" t="s">
        <v>360</v>
      </c>
      <c r="K119" s="77">
        <v>42716</v>
      </c>
      <c r="L119" s="76" t="s">
        <v>391</v>
      </c>
      <c r="M119" s="76" t="s">
        <v>749</v>
      </c>
      <c r="N119" s="76">
        <v>30</v>
      </c>
      <c r="O119" s="76">
        <v>30</v>
      </c>
      <c r="P119" s="78">
        <v>0</v>
      </c>
    </row>
    <row r="120" spans="7:16" x14ac:dyDescent="0.3">
      <c r="G120" t="s">
        <v>750</v>
      </c>
      <c r="H120" s="76" t="s">
        <v>421</v>
      </c>
      <c r="I120" s="76" t="s">
        <v>422</v>
      </c>
      <c r="J120" s="76" t="s">
        <v>384</v>
      </c>
      <c r="K120" s="76" t="s">
        <v>751</v>
      </c>
      <c r="L120" s="76" t="s">
        <v>391</v>
      </c>
      <c r="M120" s="76" t="s">
        <v>752</v>
      </c>
      <c r="N120" s="76">
        <v>30</v>
      </c>
      <c r="O120" s="76">
        <v>23</v>
      </c>
      <c r="P120" s="78">
        <v>0.23330000000000001</v>
      </c>
    </row>
    <row r="121" spans="7:16" x14ac:dyDescent="0.3">
      <c r="G121" t="s">
        <v>753</v>
      </c>
      <c r="H121" s="76" t="s">
        <v>494</v>
      </c>
      <c r="I121" s="76" t="s">
        <v>465</v>
      </c>
      <c r="J121" s="76" t="s">
        <v>366</v>
      </c>
      <c r="K121" s="76" t="s">
        <v>754</v>
      </c>
      <c r="L121" s="76" t="s">
        <v>385</v>
      </c>
      <c r="M121" s="76" t="s">
        <v>600</v>
      </c>
      <c r="N121" s="76">
        <v>50</v>
      </c>
      <c r="O121" s="76">
        <v>36</v>
      </c>
      <c r="P121" s="78">
        <v>0.28000000000000003</v>
      </c>
    </row>
    <row r="122" spans="7:16" x14ac:dyDescent="0.3">
      <c r="G122" t="s">
        <v>755</v>
      </c>
      <c r="H122" s="76" t="s">
        <v>638</v>
      </c>
      <c r="I122" s="76" t="s">
        <v>639</v>
      </c>
      <c r="J122" s="76" t="s">
        <v>360</v>
      </c>
      <c r="K122" s="76" t="s">
        <v>756</v>
      </c>
      <c r="L122" s="76" t="s">
        <v>424</v>
      </c>
      <c r="M122" s="76" t="s">
        <v>757</v>
      </c>
      <c r="N122" s="76">
        <v>500</v>
      </c>
      <c r="O122" s="76">
        <v>490</v>
      </c>
      <c r="P122" s="78">
        <v>0.02</v>
      </c>
    </row>
    <row r="123" spans="7:16" x14ac:dyDescent="0.3">
      <c r="G123" t="s">
        <v>758</v>
      </c>
      <c r="H123" s="76" t="s">
        <v>449</v>
      </c>
      <c r="I123" s="76" t="s">
        <v>450</v>
      </c>
      <c r="J123" s="76" t="s">
        <v>360</v>
      </c>
      <c r="K123" s="77">
        <v>41921</v>
      </c>
      <c r="L123" s="76" t="s">
        <v>405</v>
      </c>
      <c r="M123" s="76" t="s">
        <v>759</v>
      </c>
      <c r="N123" s="76">
        <v>800</v>
      </c>
      <c r="O123" s="76">
        <v>672</v>
      </c>
      <c r="P123" s="78">
        <v>0.16</v>
      </c>
    </row>
    <row r="124" spans="7:16" x14ac:dyDescent="0.3">
      <c r="G124" t="s">
        <v>760</v>
      </c>
      <c r="H124" s="76" t="s">
        <v>376</v>
      </c>
      <c r="I124" s="76" t="s">
        <v>377</v>
      </c>
      <c r="J124" s="76" t="s">
        <v>360</v>
      </c>
      <c r="K124" s="77">
        <v>42777</v>
      </c>
      <c r="L124" s="76" t="s">
        <v>424</v>
      </c>
      <c r="M124" s="76" t="s">
        <v>761</v>
      </c>
      <c r="N124" s="76">
        <v>500</v>
      </c>
      <c r="O124" s="76">
        <v>490</v>
      </c>
      <c r="P124" s="78">
        <v>0.02</v>
      </c>
    </row>
    <row r="125" spans="7:16" x14ac:dyDescent="0.3">
      <c r="G125" t="s">
        <v>762</v>
      </c>
      <c r="H125" s="76" t="s">
        <v>675</v>
      </c>
      <c r="I125" s="76" t="s">
        <v>676</v>
      </c>
      <c r="J125" s="76" t="s">
        <v>384</v>
      </c>
      <c r="K125" s="76" t="s">
        <v>763</v>
      </c>
      <c r="L125" s="76" t="s">
        <v>379</v>
      </c>
      <c r="M125" s="76" t="s">
        <v>764</v>
      </c>
      <c r="N125" s="76">
        <v>150</v>
      </c>
      <c r="O125" s="76">
        <v>140</v>
      </c>
      <c r="P125" s="78">
        <v>6.6699999999999995E-2</v>
      </c>
    </row>
    <row r="126" spans="7:16" x14ac:dyDescent="0.3">
      <c r="G126" t="s">
        <v>765</v>
      </c>
      <c r="H126" s="76" t="s">
        <v>560</v>
      </c>
      <c r="I126" s="76" t="s">
        <v>465</v>
      </c>
      <c r="J126" s="76" t="s">
        <v>366</v>
      </c>
      <c r="K126" s="76" t="s">
        <v>766</v>
      </c>
      <c r="L126" s="76" t="s">
        <v>424</v>
      </c>
      <c r="M126" s="76" t="s">
        <v>589</v>
      </c>
      <c r="N126" s="76">
        <v>500</v>
      </c>
      <c r="O126" s="76">
        <v>495</v>
      </c>
      <c r="P126" s="78">
        <v>0.01</v>
      </c>
    </row>
    <row r="127" spans="7:16" x14ac:dyDescent="0.3">
      <c r="G127" t="s">
        <v>767</v>
      </c>
      <c r="H127" s="76" t="s">
        <v>438</v>
      </c>
      <c r="I127" s="76" t="s">
        <v>439</v>
      </c>
      <c r="J127" s="76" t="s">
        <v>360</v>
      </c>
      <c r="K127" s="76" t="s">
        <v>768</v>
      </c>
      <c r="L127" s="76" t="s">
        <v>379</v>
      </c>
      <c r="M127" s="76" t="s">
        <v>769</v>
      </c>
      <c r="N127" s="76">
        <v>150</v>
      </c>
      <c r="O127" s="76">
        <v>150</v>
      </c>
      <c r="P127" s="78">
        <v>0</v>
      </c>
    </row>
    <row r="128" spans="7:16" x14ac:dyDescent="0.3">
      <c r="G128" t="s">
        <v>770</v>
      </c>
      <c r="H128" s="76" t="s">
        <v>473</v>
      </c>
      <c r="I128" s="76" t="s">
        <v>404</v>
      </c>
      <c r="J128" s="76" t="s">
        <v>360</v>
      </c>
      <c r="K128" s="76" t="s">
        <v>771</v>
      </c>
      <c r="L128" s="76" t="s">
        <v>391</v>
      </c>
      <c r="M128" s="76" t="s">
        <v>545</v>
      </c>
      <c r="N128" s="76">
        <v>30</v>
      </c>
      <c r="O128" s="76">
        <v>29</v>
      </c>
      <c r="P128" s="78">
        <v>3.3300000000000003E-2</v>
      </c>
    </row>
    <row r="129" spans="7:16" x14ac:dyDescent="0.3">
      <c r="G129" t="s">
        <v>772</v>
      </c>
      <c r="H129" s="76" t="s">
        <v>560</v>
      </c>
      <c r="I129" s="76" t="s">
        <v>465</v>
      </c>
      <c r="J129" s="76" t="s">
        <v>366</v>
      </c>
      <c r="K129" s="76" t="s">
        <v>773</v>
      </c>
      <c r="L129" s="76" t="s">
        <v>424</v>
      </c>
      <c r="M129" s="76" t="s">
        <v>562</v>
      </c>
      <c r="N129" s="76">
        <v>500</v>
      </c>
      <c r="O129" s="76">
        <v>500</v>
      </c>
      <c r="P129" s="78">
        <v>0</v>
      </c>
    </row>
    <row r="130" spans="7:16" x14ac:dyDescent="0.3">
      <c r="G130" t="s">
        <v>774</v>
      </c>
      <c r="H130" s="76" t="s">
        <v>444</v>
      </c>
      <c r="I130" s="76" t="s">
        <v>445</v>
      </c>
      <c r="J130" s="76" t="s">
        <v>384</v>
      </c>
      <c r="K130" s="77">
        <v>41827</v>
      </c>
      <c r="L130" s="76" t="s">
        <v>411</v>
      </c>
      <c r="M130" s="76" t="s">
        <v>775</v>
      </c>
      <c r="N130" s="76">
        <v>1000</v>
      </c>
      <c r="O130" s="76">
        <v>510</v>
      </c>
      <c r="P130" s="78">
        <v>0.49</v>
      </c>
    </row>
    <row r="131" spans="7:16" x14ac:dyDescent="0.3">
      <c r="G131" t="s">
        <v>776</v>
      </c>
      <c r="H131" s="76" t="s">
        <v>700</v>
      </c>
      <c r="I131" s="76" t="s">
        <v>465</v>
      </c>
      <c r="J131" s="76" t="s">
        <v>366</v>
      </c>
      <c r="K131" s="76" t="s">
        <v>777</v>
      </c>
      <c r="L131" s="76" t="s">
        <v>424</v>
      </c>
      <c r="M131" s="76" t="s">
        <v>778</v>
      </c>
      <c r="N131" s="76">
        <v>500</v>
      </c>
      <c r="O131" s="76">
        <v>490</v>
      </c>
      <c r="P131" s="78">
        <v>0.02</v>
      </c>
    </row>
    <row r="132" spans="7:16" x14ac:dyDescent="0.3">
      <c r="G132" t="s">
        <v>779</v>
      </c>
      <c r="H132" s="76" t="s">
        <v>358</v>
      </c>
      <c r="I132" s="76" t="s">
        <v>359</v>
      </c>
      <c r="J132" s="76" t="s">
        <v>360</v>
      </c>
      <c r="K132" s="77">
        <v>43051</v>
      </c>
      <c r="L132" s="76" t="s">
        <v>385</v>
      </c>
      <c r="M132" s="76" t="s">
        <v>780</v>
      </c>
      <c r="N132" s="76">
        <v>50</v>
      </c>
      <c r="O132" s="76">
        <v>50</v>
      </c>
      <c r="P132" s="78">
        <v>0</v>
      </c>
    </row>
    <row r="133" spans="7:16" x14ac:dyDescent="0.3">
      <c r="G133" t="s">
        <v>781</v>
      </c>
      <c r="H133" s="76" t="s">
        <v>638</v>
      </c>
      <c r="I133" s="76" t="s">
        <v>639</v>
      </c>
      <c r="J133" s="76" t="s">
        <v>360</v>
      </c>
      <c r="K133" s="77">
        <v>42528</v>
      </c>
      <c r="L133" s="76" t="s">
        <v>373</v>
      </c>
      <c r="M133" s="76" t="s">
        <v>782</v>
      </c>
      <c r="N133" s="76">
        <v>700</v>
      </c>
      <c r="O133" s="76">
        <v>665</v>
      </c>
      <c r="P133" s="78">
        <v>0.05</v>
      </c>
    </row>
    <row r="134" spans="7:16" x14ac:dyDescent="0.3">
      <c r="G134" t="s">
        <v>783</v>
      </c>
      <c r="H134" s="76" t="s">
        <v>524</v>
      </c>
      <c r="I134" s="76" t="s">
        <v>465</v>
      </c>
      <c r="J134" s="76" t="s">
        <v>366</v>
      </c>
      <c r="K134" s="77">
        <v>41678</v>
      </c>
      <c r="L134" s="76" t="s">
        <v>475</v>
      </c>
      <c r="M134" s="76" t="s">
        <v>784</v>
      </c>
      <c r="N134" s="76">
        <v>250</v>
      </c>
      <c r="O134" s="76">
        <v>175</v>
      </c>
      <c r="P134" s="78">
        <v>0.3</v>
      </c>
    </row>
    <row r="135" spans="7:16" x14ac:dyDescent="0.3">
      <c r="G135" t="s">
        <v>785</v>
      </c>
      <c r="H135" s="76" t="s">
        <v>464</v>
      </c>
      <c r="I135" s="76" t="s">
        <v>465</v>
      </c>
      <c r="J135" s="76" t="s">
        <v>366</v>
      </c>
      <c r="K135" s="76" t="s">
        <v>532</v>
      </c>
      <c r="L135" s="76" t="s">
        <v>483</v>
      </c>
      <c r="M135" s="76" t="s">
        <v>786</v>
      </c>
      <c r="N135" s="76">
        <v>50</v>
      </c>
      <c r="O135" s="76">
        <v>48</v>
      </c>
      <c r="P135" s="78">
        <v>0.04</v>
      </c>
    </row>
    <row r="136" spans="7:16" x14ac:dyDescent="0.3">
      <c r="G136" t="s">
        <v>787</v>
      </c>
      <c r="H136" s="76" t="s">
        <v>638</v>
      </c>
      <c r="I136" s="76" t="s">
        <v>639</v>
      </c>
      <c r="J136" s="76" t="s">
        <v>360</v>
      </c>
      <c r="K136" s="76" t="s">
        <v>788</v>
      </c>
      <c r="L136" s="76" t="s">
        <v>379</v>
      </c>
      <c r="M136" s="76" t="s">
        <v>641</v>
      </c>
      <c r="N136" s="76">
        <v>150</v>
      </c>
      <c r="O136" s="76">
        <v>146</v>
      </c>
      <c r="P136" s="78">
        <v>2.6700000000000002E-2</v>
      </c>
    </row>
    <row r="137" spans="7:16" x14ac:dyDescent="0.3">
      <c r="G137" t="s">
        <v>789</v>
      </c>
      <c r="H137" s="76" t="s">
        <v>414</v>
      </c>
      <c r="I137" s="76" t="s">
        <v>415</v>
      </c>
      <c r="J137" s="76" t="s">
        <v>384</v>
      </c>
      <c r="K137" s="76" t="s">
        <v>790</v>
      </c>
      <c r="L137" s="76" t="s">
        <v>379</v>
      </c>
      <c r="M137" s="76" t="s">
        <v>688</v>
      </c>
      <c r="N137" s="76">
        <v>150</v>
      </c>
      <c r="O137" s="76">
        <v>143</v>
      </c>
      <c r="P137" s="78">
        <v>4.6699999999999998E-2</v>
      </c>
    </row>
    <row r="138" spans="7:16" x14ac:dyDescent="0.3">
      <c r="G138" t="s">
        <v>791</v>
      </c>
      <c r="H138" s="76" t="s">
        <v>514</v>
      </c>
      <c r="I138" s="76" t="s">
        <v>515</v>
      </c>
      <c r="J138" s="76" t="s">
        <v>360</v>
      </c>
      <c r="K138" s="77">
        <v>42134</v>
      </c>
      <c r="L138" s="76" t="s">
        <v>461</v>
      </c>
      <c r="M138" s="76" t="s">
        <v>792</v>
      </c>
      <c r="N138" s="76">
        <v>70</v>
      </c>
      <c r="O138" s="76">
        <v>57</v>
      </c>
      <c r="P138" s="78">
        <v>0.1857</v>
      </c>
    </row>
    <row r="139" spans="7:16" x14ac:dyDescent="0.3">
      <c r="G139" t="s">
        <v>793</v>
      </c>
      <c r="H139" s="76" t="s">
        <v>409</v>
      </c>
      <c r="I139" s="76" t="s">
        <v>410</v>
      </c>
      <c r="J139" s="76" t="s">
        <v>360</v>
      </c>
      <c r="K139" s="77">
        <v>42927</v>
      </c>
      <c r="L139" s="76" t="s">
        <v>483</v>
      </c>
      <c r="M139" s="76" t="s">
        <v>733</v>
      </c>
      <c r="N139" s="76">
        <v>50</v>
      </c>
      <c r="O139" s="76">
        <v>46</v>
      </c>
      <c r="P139" s="78">
        <v>0.08</v>
      </c>
    </row>
    <row r="140" spans="7:16" x14ac:dyDescent="0.3">
      <c r="G140" t="s">
        <v>794</v>
      </c>
      <c r="H140" s="76" t="s">
        <v>591</v>
      </c>
      <c r="I140" s="76" t="s">
        <v>592</v>
      </c>
      <c r="J140" s="76" t="s">
        <v>372</v>
      </c>
      <c r="K140" s="76" t="s">
        <v>795</v>
      </c>
      <c r="L140" s="76" t="s">
        <v>391</v>
      </c>
      <c r="M140" s="76" t="s">
        <v>796</v>
      </c>
      <c r="N140" s="76">
        <v>30</v>
      </c>
      <c r="O140" s="76">
        <v>27</v>
      </c>
      <c r="P140" s="78">
        <v>0.1</v>
      </c>
    </row>
    <row r="141" spans="7:16" x14ac:dyDescent="0.3">
      <c r="G141" t="s">
        <v>797</v>
      </c>
      <c r="H141" s="76" t="s">
        <v>438</v>
      </c>
      <c r="I141" s="76" t="s">
        <v>439</v>
      </c>
      <c r="J141" s="76" t="s">
        <v>360</v>
      </c>
      <c r="K141" s="77">
        <v>41763</v>
      </c>
      <c r="L141" s="76" t="s">
        <v>396</v>
      </c>
      <c r="M141" s="76" t="s">
        <v>798</v>
      </c>
      <c r="N141" s="76">
        <v>500</v>
      </c>
      <c r="O141" s="76">
        <v>500</v>
      </c>
      <c r="P141" s="78">
        <v>0</v>
      </c>
    </row>
    <row r="142" spans="7:16" x14ac:dyDescent="0.3">
      <c r="G142" t="s">
        <v>799</v>
      </c>
      <c r="H142" s="76" t="s">
        <v>747</v>
      </c>
      <c r="I142" s="76" t="s">
        <v>748</v>
      </c>
      <c r="J142" s="76" t="s">
        <v>360</v>
      </c>
      <c r="K142" s="77">
        <v>43288</v>
      </c>
      <c r="L142" s="76" t="s">
        <v>396</v>
      </c>
      <c r="M142" s="76" t="s">
        <v>800</v>
      </c>
      <c r="N142" s="76">
        <v>500</v>
      </c>
      <c r="O142" s="76">
        <v>500</v>
      </c>
      <c r="P142" s="78">
        <v>0</v>
      </c>
    </row>
    <row r="143" spans="7:16" x14ac:dyDescent="0.3">
      <c r="G143" t="s">
        <v>801</v>
      </c>
      <c r="H143" s="76" t="s">
        <v>473</v>
      </c>
      <c r="I143" s="76" t="s">
        <v>404</v>
      </c>
      <c r="J143" s="76" t="s">
        <v>360</v>
      </c>
      <c r="K143" s="77">
        <v>43170</v>
      </c>
      <c r="L143" s="76" t="s">
        <v>475</v>
      </c>
      <c r="M143" s="76" t="s">
        <v>802</v>
      </c>
      <c r="N143" s="76">
        <v>250</v>
      </c>
      <c r="O143" s="76">
        <v>225</v>
      </c>
      <c r="P143" s="78">
        <v>0.1</v>
      </c>
    </row>
    <row r="144" spans="7:16" x14ac:dyDescent="0.3">
      <c r="G144" t="s">
        <v>803</v>
      </c>
      <c r="H144" s="76" t="s">
        <v>668</v>
      </c>
      <c r="I144" s="76" t="s">
        <v>669</v>
      </c>
      <c r="J144" s="76" t="s">
        <v>360</v>
      </c>
      <c r="K144" s="77">
        <v>42134</v>
      </c>
      <c r="L144" s="76" t="s">
        <v>391</v>
      </c>
      <c r="M144" s="76" t="s">
        <v>804</v>
      </c>
      <c r="N144" s="76">
        <v>30</v>
      </c>
      <c r="O144" s="76">
        <v>26</v>
      </c>
      <c r="P144" s="78">
        <v>0.1333</v>
      </c>
    </row>
    <row r="145" spans="7:16" x14ac:dyDescent="0.3">
      <c r="G145" t="s">
        <v>805</v>
      </c>
      <c r="H145" s="76" t="s">
        <v>591</v>
      </c>
      <c r="I145" s="76" t="s">
        <v>592</v>
      </c>
      <c r="J145" s="76" t="s">
        <v>372</v>
      </c>
      <c r="K145" s="76" t="s">
        <v>806</v>
      </c>
      <c r="L145" s="76" t="s">
        <v>391</v>
      </c>
      <c r="M145" s="76" t="s">
        <v>796</v>
      </c>
      <c r="N145" s="76">
        <v>30</v>
      </c>
      <c r="O145" s="76">
        <v>27</v>
      </c>
      <c r="P145" s="78">
        <v>0.1</v>
      </c>
    </row>
    <row r="146" spans="7:16" x14ac:dyDescent="0.3">
      <c r="G146" t="s">
        <v>807</v>
      </c>
      <c r="H146" s="76" t="s">
        <v>469</v>
      </c>
      <c r="I146" s="76" t="s">
        <v>435</v>
      </c>
      <c r="J146" s="76" t="s">
        <v>360</v>
      </c>
      <c r="K146" s="77">
        <v>42259</v>
      </c>
      <c r="L146" s="76" t="s">
        <v>483</v>
      </c>
      <c r="M146" s="76" t="s">
        <v>808</v>
      </c>
      <c r="N146" s="76">
        <v>50</v>
      </c>
      <c r="O146" s="76">
        <v>34</v>
      </c>
      <c r="P146" s="78">
        <v>0.32</v>
      </c>
    </row>
    <row r="147" spans="7:16" x14ac:dyDescent="0.3">
      <c r="G147" t="s">
        <v>809</v>
      </c>
      <c r="H147" s="76" t="s">
        <v>497</v>
      </c>
      <c r="I147" s="76" t="s">
        <v>445</v>
      </c>
      <c r="J147" s="76" t="s">
        <v>384</v>
      </c>
      <c r="K147" s="77">
        <v>43323</v>
      </c>
      <c r="L147" s="76" t="s">
        <v>424</v>
      </c>
      <c r="M147" s="76" t="s">
        <v>810</v>
      </c>
      <c r="N147" s="76">
        <v>500</v>
      </c>
      <c r="O147" s="76">
        <v>500</v>
      </c>
      <c r="P147" s="78">
        <v>0</v>
      </c>
    </row>
    <row r="148" spans="7:16" x14ac:dyDescent="0.3">
      <c r="G148" t="s">
        <v>811</v>
      </c>
      <c r="H148" s="76" t="s">
        <v>656</v>
      </c>
      <c r="I148" s="76" t="s">
        <v>657</v>
      </c>
      <c r="J148" s="76" t="s">
        <v>360</v>
      </c>
      <c r="K148" s="76" t="s">
        <v>812</v>
      </c>
      <c r="L148" s="76" t="s">
        <v>411</v>
      </c>
      <c r="M148" s="76" t="s">
        <v>813</v>
      </c>
      <c r="N148" s="76">
        <v>1000</v>
      </c>
      <c r="O148" s="76">
        <v>780</v>
      </c>
      <c r="P148" s="78">
        <v>0.22</v>
      </c>
    </row>
    <row r="149" spans="7:16" x14ac:dyDescent="0.3">
      <c r="G149" t="s">
        <v>814</v>
      </c>
      <c r="H149" s="76" t="s">
        <v>399</v>
      </c>
      <c r="I149" s="76" t="s">
        <v>400</v>
      </c>
      <c r="J149" s="76" t="s">
        <v>372</v>
      </c>
      <c r="K149" s="77">
        <v>42858</v>
      </c>
      <c r="L149" s="76" t="s">
        <v>475</v>
      </c>
      <c r="M149" s="76" t="s">
        <v>815</v>
      </c>
      <c r="N149" s="76">
        <v>250</v>
      </c>
      <c r="O149" s="76">
        <v>245</v>
      </c>
      <c r="P149" s="78">
        <v>0.02</v>
      </c>
    </row>
    <row r="150" spans="7:16" x14ac:dyDescent="0.3">
      <c r="G150" t="s">
        <v>816</v>
      </c>
      <c r="H150" s="76" t="s">
        <v>638</v>
      </c>
      <c r="I150" s="76" t="s">
        <v>639</v>
      </c>
      <c r="J150" s="76" t="s">
        <v>360</v>
      </c>
      <c r="K150" s="76" t="s">
        <v>817</v>
      </c>
      <c r="L150" s="76" t="s">
        <v>405</v>
      </c>
      <c r="M150" s="76" t="s">
        <v>818</v>
      </c>
      <c r="N150" s="76">
        <v>800</v>
      </c>
      <c r="O150" s="76">
        <v>784</v>
      </c>
      <c r="P150" s="78">
        <v>0.02</v>
      </c>
    </row>
    <row r="151" spans="7:16" x14ac:dyDescent="0.3">
      <c r="G151" t="s">
        <v>819</v>
      </c>
      <c r="H151" s="76" t="s">
        <v>494</v>
      </c>
      <c r="I151" s="76" t="s">
        <v>465</v>
      </c>
      <c r="J151" s="76" t="s">
        <v>366</v>
      </c>
      <c r="K151" s="77">
        <v>43286</v>
      </c>
      <c r="L151" s="76" t="s">
        <v>461</v>
      </c>
      <c r="M151" s="76" t="s">
        <v>820</v>
      </c>
      <c r="N151" s="76">
        <v>70</v>
      </c>
      <c r="O151" s="76">
        <v>60</v>
      </c>
      <c r="P151" s="78">
        <v>0.1429</v>
      </c>
    </row>
    <row r="152" spans="7:16" x14ac:dyDescent="0.3">
      <c r="G152" t="s">
        <v>821</v>
      </c>
      <c r="H152" s="76" t="s">
        <v>364</v>
      </c>
      <c r="I152" s="76" t="s">
        <v>365</v>
      </c>
      <c r="J152" s="76" t="s">
        <v>366</v>
      </c>
      <c r="K152" s="76" t="s">
        <v>822</v>
      </c>
      <c r="L152" s="76" t="s">
        <v>424</v>
      </c>
      <c r="M152" s="76" t="s">
        <v>555</v>
      </c>
      <c r="N152" s="76">
        <v>500</v>
      </c>
      <c r="O152" s="76">
        <v>500</v>
      </c>
      <c r="P152" s="78">
        <v>0</v>
      </c>
    </row>
    <row r="153" spans="7:16" x14ac:dyDescent="0.3">
      <c r="G153" t="s">
        <v>823</v>
      </c>
      <c r="H153" s="76" t="s">
        <v>489</v>
      </c>
      <c r="I153" s="76" t="s">
        <v>490</v>
      </c>
      <c r="J153" s="76" t="s">
        <v>360</v>
      </c>
      <c r="K153" s="77">
        <v>43199</v>
      </c>
      <c r="L153" s="76" t="s">
        <v>405</v>
      </c>
      <c r="M153" s="76" t="s">
        <v>824</v>
      </c>
      <c r="N153" s="76">
        <v>800</v>
      </c>
      <c r="O153" s="76">
        <v>496</v>
      </c>
      <c r="P153" s="78">
        <v>0.38</v>
      </c>
    </row>
    <row r="154" spans="7:16" x14ac:dyDescent="0.3">
      <c r="G154" t="s">
        <v>825</v>
      </c>
      <c r="H154" s="76" t="s">
        <v>434</v>
      </c>
      <c r="I154" s="76" t="s">
        <v>435</v>
      </c>
      <c r="J154" s="76" t="s">
        <v>360</v>
      </c>
      <c r="K154" s="76" t="s">
        <v>826</v>
      </c>
      <c r="L154" s="76" t="s">
        <v>461</v>
      </c>
      <c r="M154" s="76" t="s">
        <v>827</v>
      </c>
      <c r="N154" s="76">
        <v>70</v>
      </c>
      <c r="O154" s="76">
        <v>69</v>
      </c>
      <c r="P154" s="78">
        <v>1.43E-2</v>
      </c>
    </row>
    <row r="155" spans="7:16" x14ac:dyDescent="0.3">
      <c r="G155" t="s">
        <v>828</v>
      </c>
      <c r="H155" s="76" t="s">
        <v>459</v>
      </c>
      <c r="I155" s="76" t="s">
        <v>422</v>
      </c>
      <c r="J155" s="76" t="s">
        <v>384</v>
      </c>
      <c r="K155" s="76" t="s">
        <v>829</v>
      </c>
      <c r="L155" s="76" t="s">
        <v>391</v>
      </c>
      <c r="M155" s="76" t="s">
        <v>646</v>
      </c>
      <c r="N155" s="76">
        <v>30</v>
      </c>
      <c r="O155" s="76">
        <v>29</v>
      </c>
      <c r="P155" s="78">
        <v>3.3300000000000003E-2</v>
      </c>
    </row>
    <row r="156" spans="7:16" x14ac:dyDescent="0.3">
      <c r="G156" t="s">
        <v>830</v>
      </c>
      <c r="H156" s="76" t="s">
        <v>519</v>
      </c>
      <c r="I156" s="76" t="s">
        <v>520</v>
      </c>
      <c r="J156" s="76" t="s">
        <v>360</v>
      </c>
      <c r="K156" s="76" t="s">
        <v>831</v>
      </c>
      <c r="L156" s="76" t="s">
        <v>461</v>
      </c>
      <c r="M156" s="76" t="s">
        <v>522</v>
      </c>
      <c r="N156" s="76">
        <v>70</v>
      </c>
      <c r="O156" s="76">
        <v>65</v>
      </c>
      <c r="P156" s="78">
        <v>7.1400000000000005E-2</v>
      </c>
    </row>
    <row r="157" spans="7:16" x14ac:dyDescent="0.3">
      <c r="G157" t="s">
        <v>832</v>
      </c>
      <c r="H157" s="76" t="s">
        <v>421</v>
      </c>
      <c r="I157" s="76" t="s">
        <v>422</v>
      </c>
      <c r="J157" s="76" t="s">
        <v>384</v>
      </c>
      <c r="K157" s="77">
        <v>42494</v>
      </c>
      <c r="L157" s="76" t="s">
        <v>361</v>
      </c>
      <c r="M157" s="76" t="s">
        <v>833</v>
      </c>
      <c r="N157" s="76">
        <v>80</v>
      </c>
      <c r="O157" s="76">
        <v>78</v>
      </c>
      <c r="P157" s="78">
        <v>2.5000000000000001E-2</v>
      </c>
    </row>
    <row r="158" spans="7:16" x14ac:dyDescent="0.3">
      <c r="G158" t="s">
        <v>834</v>
      </c>
      <c r="H158" s="76" t="s">
        <v>611</v>
      </c>
      <c r="I158" s="76" t="s">
        <v>389</v>
      </c>
      <c r="J158" s="76" t="s">
        <v>384</v>
      </c>
      <c r="K158" s="76" t="s">
        <v>835</v>
      </c>
      <c r="L158" s="76" t="s">
        <v>483</v>
      </c>
      <c r="M158" s="76" t="s">
        <v>624</v>
      </c>
      <c r="N158" s="76">
        <v>50</v>
      </c>
      <c r="O158" s="76">
        <v>39</v>
      </c>
      <c r="P158" s="78">
        <v>0.22</v>
      </c>
    </row>
    <row r="159" spans="7:16" x14ac:dyDescent="0.3">
      <c r="G159" t="s">
        <v>836</v>
      </c>
      <c r="H159" s="76" t="s">
        <v>429</v>
      </c>
      <c r="I159" s="76" t="s">
        <v>430</v>
      </c>
      <c r="J159" s="76" t="s">
        <v>384</v>
      </c>
      <c r="K159" s="76" t="s">
        <v>837</v>
      </c>
      <c r="L159" s="76" t="s">
        <v>391</v>
      </c>
      <c r="M159" s="76" t="s">
        <v>838</v>
      </c>
      <c r="N159" s="76">
        <v>30</v>
      </c>
      <c r="O159" s="76">
        <v>28</v>
      </c>
      <c r="P159" s="78">
        <v>6.6699999999999995E-2</v>
      </c>
    </row>
    <row r="160" spans="7:16" x14ac:dyDescent="0.3">
      <c r="G160" t="s">
        <v>839</v>
      </c>
      <c r="H160" s="76" t="s">
        <v>376</v>
      </c>
      <c r="I160" s="76" t="s">
        <v>377</v>
      </c>
      <c r="J160" s="76" t="s">
        <v>360</v>
      </c>
      <c r="K160" s="76" t="s">
        <v>840</v>
      </c>
      <c r="L160" s="76" t="s">
        <v>396</v>
      </c>
      <c r="M160" s="76" t="s">
        <v>841</v>
      </c>
      <c r="N160" s="76">
        <v>500</v>
      </c>
      <c r="O160" s="76">
        <v>315</v>
      </c>
      <c r="P160" s="78">
        <v>0.37</v>
      </c>
    </row>
    <row r="161" spans="7:16" x14ac:dyDescent="0.3">
      <c r="G161" t="s">
        <v>842</v>
      </c>
      <c r="H161" s="76" t="s">
        <v>399</v>
      </c>
      <c r="I161" s="76" t="s">
        <v>400</v>
      </c>
      <c r="J161" s="76" t="s">
        <v>372</v>
      </c>
      <c r="K161" s="77">
        <v>42495</v>
      </c>
      <c r="L161" s="76" t="s">
        <v>391</v>
      </c>
      <c r="M161" s="76" t="s">
        <v>843</v>
      </c>
      <c r="N161" s="76">
        <v>30</v>
      </c>
      <c r="O161" s="76">
        <v>29</v>
      </c>
      <c r="P161" s="78">
        <v>3.3300000000000003E-2</v>
      </c>
    </row>
    <row r="162" spans="7:16" x14ac:dyDescent="0.3">
      <c r="G162" t="s">
        <v>844</v>
      </c>
      <c r="H162" s="76" t="s">
        <v>845</v>
      </c>
      <c r="I162" s="76" t="s">
        <v>846</v>
      </c>
      <c r="J162" s="76" t="s">
        <v>360</v>
      </c>
      <c r="K162" s="76" t="s">
        <v>847</v>
      </c>
      <c r="L162" s="76" t="s">
        <v>373</v>
      </c>
      <c r="M162" s="76" t="s">
        <v>848</v>
      </c>
      <c r="N162" s="76">
        <v>700</v>
      </c>
      <c r="O162" s="76">
        <v>595</v>
      </c>
      <c r="P162" s="78">
        <v>0.15</v>
      </c>
    </row>
    <row r="163" spans="7:16" x14ac:dyDescent="0.3">
      <c r="G163" t="s">
        <v>849</v>
      </c>
      <c r="H163" s="76" t="s">
        <v>403</v>
      </c>
      <c r="I163" s="76" t="s">
        <v>404</v>
      </c>
      <c r="J163" s="76" t="s">
        <v>360</v>
      </c>
      <c r="K163" s="76" t="s">
        <v>850</v>
      </c>
      <c r="L163" s="76" t="s">
        <v>424</v>
      </c>
      <c r="M163" s="76" t="s">
        <v>851</v>
      </c>
      <c r="N163" s="76">
        <v>500</v>
      </c>
      <c r="O163" s="76">
        <v>500</v>
      </c>
      <c r="P163" s="78">
        <v>0</v>
      </c>
    </row>
    <row r="164" spans="7:16" x14ac:dyDescent="0.3">
      <c r="G164" t="s">
        <v>852</v>
      </c>
      <c r="H164" s="76" t="s">
        <v>399</v>
      </c>
      <c r="I164" s="76" t="s">
        <v>400</v>
      </c>
      <c r="J164" s="76" t="s">
        <v>372</v>
      </c>
      <c r="K164" s="76" t="s">
        <v>853</v>
      </c>
      <c r="L164" s="76" t="s">
        <v>475</v>
      </c>
      <c r="M164" s="76" t="s">
        <v>401</v>
      </c>
      <c r="N164" s="76">
        <v>250</v>
      </c>
      <c r="O164" s="76">
        <v>243</v>
      </c>
      <c r="P164" s="78">
        <v>2.8000000000000001E-2</v>
      </c>
    </row>
    <row r="165" spans="7:16" x14ac:dyDescent="0.3">
      <c r="G165" t="s">
        <v>854</v>
      </c>
      <c r="H165" s="76" t="s">
        <v>494</v>
      </c>
      <c r="I165" s="76" t="s">
        <v>465</v>
      </c>
      <c r="J165" s="76" t="s">
        <v>366</v>
      </c>
      <c r="K165" s="76" t="s">
        <v>855</v>
      </c>
      <c r="L165" s="76" t="s">
        <v>385</v>
      </c>
      <c r="M165" s="76" t="s">
        <v>495</v>
      </c>
      <c r="N165" s="76">
        <v>50</v>
      </c>
      <c r="O165" s="76">
        <v>40</v>
      </c>
      <c r="P165" s="78">
        <v>0.2</v>
      </c>
    </row>
    <row r="166" spans="7:16" x14ac:dyDescent="0.3">
      <c r="G166" t="s">
        <v>856</v>
      </c>
      <c r="H166" s="76" t="s">
        <v>444</v>
      </c>
      <c r="I166" s="76" t="s">
        <v>445</v>
      </c>
      <c r="J166" s="76" t="s">
        <v>384</v>
      </c>
      <c r="K166" s="76" t="s">
        <v>857</v>
      </c>
      <c r="L166" s="76" t="s">
        <v>461</v>
      </c>
      <c r="M166" s="76" t="s">
        <v>695</v>
      </c>
      <c r="N166" s="76">
        <v>70</v>
      </c>
      <c r="O166" s="76">
        <v>47</v>
      </c>
      <c r="P166" s="78">
        <v>0.3286</v>
      </c>
    </row>
    <row r="167" spans="7:16" x14ac:dyDescent="0.3">
      <c r="G167" t="s">
        <v>858</v>
      </c>
      <c r="H167" s="76" t="s">
        <v>519</v>
      </c>
      <c r="I167" s="76" t="s">
        <v>520</v>
      </c>
      <c r="J167" s="76" t="s">
        <v>360</v>
      </c>
      <c r="K167" s="77">
        <v>42159</v>
      </c>
      <c r="L167" s="76" t="s">
        <v>483</v>
      </c>
      <c r="M167" s="76" t="s">
        <v>859</v>
      </c>
      <c r="N167" s="76">
        <v>50</v>
      </c>
      <c r="O167" s="76">
        <v>46</v>
      </c>
      <c r="P167" s="78">
        <v>0.08</v>
      </c>
    </row>
    <row r="168" spans="7:16" x14ac:dyDescent="0.3">
      <c r="G168" t="s">
        <v>860</v>
      </c>
      <c r="H168" s="76" t="s">
        <v>547</v>
      </c>
      <c r="I168" s="76" t="s">
        <v>548</v>
      </c>
      <c r="J168" s="76" t="s">
        <v>360</v>
      </c>
      <c r="K168" s="77">
        <v>42069</v>
      </c>
      <c r="L168" s="76" t="s">
        <v>424</v>
      </c>
      <c r="M168" s="76" t="s">
        <v>861</v>
      </c>
      <c r="N168" s="76">
        <v>500</v>
      </c>
      <c r="O168" s="76">
        <v>500</v>
      </c>
      <c r="P168" s="78">
        <v>0</v>
      </c>
    </row>
    <row r="169" spans="7:16" x14ac:dyDescent="0.3">
      <c r="G169" t="s">
        <v>862</v>
      </c>
      <c r="H169" s="76" t="s">
        <v>615</v>
      </c>
      <c r="I169" s="76" t="s">
        <v>400</v>
      </c>
      <c r="J169" s="76" t="s">
        <v>372</v>
      </c>
      <c r="K169" s="76" t="s">
        <v>863</v>
      </c>
      <c r="L169" s="76" t="s">
        <v>361</v>
      </c>
      <c r="M169" s="76" t="s">
        <v>864</v>
      </c>
      <c r="N169" s="76">
        <v>80</v>
      </c>
      <c r="O169" s="76">
        <v>77</v>
      </c>
      <c r="P169" s="78">
        <v>3.7499999999999999E-2</v>
      </c>
    </row>
    <row r="170" spans="7:16" x14ac:dyDescent="0.3">
      <c r="G170" t="s">
        <v>865</v>
      </c>
      <c r="H170" s="76" t="s">
        <v>566</v>
      </c>
      <c r="I170" s="76" t="s">
        <v>567</v>
      </c>
      <c r="J170" s="76" t="s">
        <v>360</v>
      </c>
      <c r="K170" s="76" t="s">
        <v>866</v>
      </c>
      <c r="L170" s="76" t="s">
        <v>483</v>
      </c>
      <c r="M170" s="76" t="s">
        <v>867</v>
      </c>
      <c r="N170" s="76">
        <v>50</v>
      </c>
      <c r="O170" s="76">
        <v>43</v>
      </c>
      <c r="P170" s="78">
        <v>0.14000000000000001</v>
      </c>
    </row>
    <row r="171" spans="7:16" x14ac:dyDescent="0.3">
      <c r="G171" t="s">
        <v>868</v>
      </c>
      <c r="H171" s="76" t="s">
        <v>421</v>
      </c>
      <c r="I171" s="76" t="s">
        <v>422</v>
      </c>
      <c r="J171" s="76" t="s">
        <v>384</v>
      </c>
      <c r="K171" s="77">
        <v>43289</v>
      </c>
      <c r="L171" s="76" t="s">
        <v>379</v>
      </c>
      <c r="M171" s="76" t="s">
        <v>869</v>
      </c>
      <c r="N171" s="76">
        <v>150</v>
      </c>
      <c r="O171" s="76">
        <v>143</v>
      </c>
      <c r="P171" s="78">
        <v>4.6699999999999998E-2</v>
      </c>
    </row>
    <row r="172" spans="7:16" x14ac:dyDescent="0.3">
      <c r="G172" t="s">
        <v>870</v>
      </c>
      <c r="H172" s="76" t="s">
        <v>414</v>
      </c>
      <c r="I172" s="76" t="s">
        <v>415</v>
      </c>
      <c r="J172" s="76" t="s">
        <v>384</v>
      </c>
      <c r="K172" s="77">
        <v>42253</v>
      </c>
      <c r="L172" s="76" t="s">
        <v>411</v>
      </c>
      <c r="M172" s="76" t="s">
        <v>417</v>
      </c>
      <c r="N172" s="76">
        <v>1000</v>
      </c>
      <c r="O172" s="76">
        <v>610</v>
      </c>
      <c r="P172" s="78">
        <v>0.39</v>
      </c>
    </row>
    <row r="173" spans="7:16" x14ac:dyDescent="0.3">
      <c r="G173" t="s">
        <v>871</v>
      </c>
      <c r="H173" s="76" t="s">
        <v>434</v>
      </c>
      <c r="I173" s="76" t="s">
        <v>435</v>
      </c>
      <c r="J173" s="76" t="s">
        <v>360</v>
      </c>
      <c r="K173" s="77">
        <v>41765</v>
      </c>
      <c r="L173" s="76" t="s">
        <v>385</v>
      </c>
      <c r="M173" s="76" t="s">
        <v>827</v>
      </c>
      <c r="N173" s="76">
        <v>50</v>
      </c>
      <c r="O173" s="76">
        <v>41</v>
      </c>
      <c r="P173" s="78">
        <v>0.18</v>
      </c>
    </row>
    <row r="174" spans="7:16" x14ac:dyDescent="0.3">
      <c r="G174" t="s">
        <v>872</v>
      </c>
      <c r="H174" s="76" t="s">
        <v>700</v>
      </c>
      <c r="I174" s="76" t="s">
        <v>465</v>
      </c>
      <c r="J174" s="76" t="s">
        <v>366</v>
      </c>
      <c r="K174" s="76" t="s">
        <v>873</v>
      </c>
      <c r="L174" s="76" t="s">
        <v>391</v>
      </c>
      <c r="M174" s="76" t="s">
        <v>874</v>
      </c>
      <c r="N174" s="76">
        <v>30</v>
      </c>
      <c r="O174" s="76">
        <v>29</v>
      </c>
      <c r="P174" s="78">
        <v>3.3300000000000003E-2</v>
      </c>
    </row>
    <row r="175" spans="7:16" x14ac:dyDescent="0.3">
      <c r="G175" t="s">
        <v>875</v>
      </c>
      <c r="H175" s="76" t="s">
        <v>489</v>
      </c>
      <c r="I175" s="76" t="s">
        <v>490</v>
      </c>
      <c r="J175" s="76" t="s">
        <v>360</v>
      </c>
      <c r="K175" s="76" t="s">
        <v>701</v>
      </c>
      <c r="L175" s="76" t="s">
        <v>361</v>
      </c>
      <c r="M175" s="76" t="s">
        <v>824</v>
      </c>
      <c r="N175" s="76">
        <v>80</v>
      </c>
      <c r="O175" s="76">
        <v>70</v>
      </c>
      <c r="P175" s="78">
        <v>0.125</v>
      </c>
    </row>
    <row r="176" spans="7:16" x14ac:dyDescent="0.3">
      <c r="G176" t="s">
        <v>876</v>
      </c>
      <c r="H176" s="76" t="s">
        <v>376</v>
      </c>
      <c r="I176" s="76" t="s">
        <v>377</v>
      </c>
      <c r="J176" s="76" t="s">
        <v>360</v>
      </c>
      <c r="K176" s="77">
        <v>43385</v>
      </c>
      <c r="L176" s="76" t="s">
        <v>475</v>
      </c>
      <c r="M176" s="76" t="s">
        <v>877</v>
      </c>
      <c r="N176" s="76">
        <v>250</v>
      </c>
      <c r="O176" s="76">
        <v>240</v>
      </c>
      <c r="P176" s="78">
        <v>0.04</v>
      </c>
    </row>
    <row r="177" spans="7:16" x14ac:dyDescent="0.3">
      <c r="G177" t="s">
        <v>878</v>
      </c>
      <c r="H177" s="76" t="s">
        <v>638</v>
      </c>
      <c r="I177" s="76" t="s">
        <v>639</v>
      </c>
      <c r="J177" s="76" t="s">
        <v>360</v>
      </c>
      <c r="K177" s="76" t="s">
        <v>879</v>
      </c>
      <c r="L177" s="76" t="s">
        <v>391</v>
      </c>
      <c r="M177" s="76" t="s">
        <v>880</v>
      </c>
      <c r="N177" s="76">
        <v>30</v>
      </c>
      <c r="O177" s="76">
        <v>28</v>
      </c>
      <c r="P177" s="78">
        <v>6.6699999999999995E-2</v>
      </c>
    </row>
    <row r="178" spans="7:16" x14ac:dyDescent="0.3">
      <c r="G178" t="s">
        <v>881</v>
      </c>
      <c r="H178" s="76" t="s">
        <v>421</v>
      </c>
      <c r="I178" s="76" t="s">
        <v>422</v>
      </c>
      <c r="J178" s="76" t="s">
        <v>384</v>
      </c>
      <c r="K178" s="76" t="s">
        <v>882</v>
      </c>
      <c r="L178" s="76" t="s">
        <v>461</v>
      </c>
      <c r="M178" s="76" t="s">
        <v>509</v>
      </c>
      <c r="N178" s="76">
        <v>70</v>
      </c>
      <c r="O178" s="76">
        <v>64</v>
      </c>
      <c r="P178" s="78">
        <v>8.5699999999999998E-2</v>
      </c>
    </row>
    <row r="179" spans="7:16" x14ac:dyDescent="0.3">
      <c r="G179" t="s">
        <v>883</v>
      </c>
      <c r="H179" s="76" t="s">
        <v>464</v>
      </c>
      <c r="I179" s="76" t="s">
        <v>465</v>
      </c>
      <c r="J179" s="76" t="s">
        <v>366</v>
      </c>
      <c r="K179" s="76" t="s">
        <v>884</v>
      </c>
      <c r="L179" s="76" t="s">
        <v>461</v>
      </c>
      <c r="M179" s="76" t="s">
        <v>467</v>
      </c>
      <c r="N179" s="76">
        <v>70</v>
      </c>
      <c r="O179" s="76">
        <v>51</v>
      </c>
      <c r="P179" s="78">
        <v>0.27139999999999997</v>
      </c>
    </row>
    <row r="180" spans="7:16" x14ac:dyDescent="0.3">
      <c r="G180" t="s">
        <v>885</v>
      </c>
      <c r="H180" s="76" t="s">
        <v>370</v>
      </c>
      <c r="I180" s="76" t="s">
        <v>371</v>
      </c>
      <c r="J180" s="76" t="s">
        <v>372</v>
      </c>
      <c r="K180" s="77">
        <v>42315</v>
      </c>
      <c r="L180" s="76" t="s">
        <v>385</v>
      </c>
      <c r="M180" s="76" t="s">
        <v>512</v>
      </c>
      <c r="N180" s="76">
        <v>50</v>
      </c>
      <c r="O180" s="76">
        <v>41</v>
      </c>
      <c r="P180" s="78">
        <v>0.18</v>
      </c>
    </row>
    <row r="181" spans="7:16" x14ac:dyDescent="0.3">
      <c r="G181" t="s">
        <v>886</v>
      </c>
      <c r="H181" s="76" t="s">
        <v>394</v>
      </c>
      <c r="I181" s="76" t="s">
        <v>395</v>
      </c>
      <c r="J181" s="76" t="s">
        <v>372</v>
      </c>
      <c r="K181" s="76" t="s">
        <v>616</v>
      </c>
      <c r="L181" s="76" t="s">
        <v>424</v>
      </c>
      <c r="M181" s="76" t="s">
        <v>887</v>
      </c>
      <c r="N181" s="76">
        <v>500</v>
      </c>
      <c r="O181" s="76">
        <v>490</v>
      </c>
      <c r="P181" s="78">
        <v>0.02</v>
      </c>
    </row>
    <row r="182" spans="7:16" x14ac:dyDescent="0.3">
      <c r="G182" t="s">
        <v>888</v>
      </c>
      <c r="H182" s="76" t="s">
        <v>394</v>
      </c>
      <c r="I182" s="76" t="s">
        <v>395</v>
      </c>
      <c r="J182" s="76" t="s">
        <v>372</v>
      </c>
      <c r="K182" s="76" t="s">
        <v>889</v>
      </c>
      <c r="L182" s="76" t="s">
        <v>424</v>
      </c>
      <c r="M182" s="76" t="s">
        <v>397</v>
      </c>
      <c r="N182" s="76">
        <v>500</v>
      </c>
      <c r="O182" s="76">
        <v>490</v>
      </c>
      <c r="P182" s="78">
        <v>0.02</v>
      </c>
    </row>
    <row r="183" spans="7:16" x14ac:dyDescent="0.3">
      <c r="G183" t="s">
        <v>890</v>
      </c>
      <c r="H183" s="76" t="s">
        <v>891</v>
      </c>
      <c r="I183" s="76" t="s">
        <v>892</v>
      </c>
      <c r="J183" s="76" t="s">
        <v>372</v>
      </c>
      <c r="K183" s="77">
        <v>42254</v>
      </c>
      <c r="L183" s="76" t="s">
        <v>411</v>
      </c>
      <c r="M183" s="76" t="s">
        <v>893</v>
      </c>
      <c r="N183" s="76">
        <v>1000</v>
      </c>
      <c r="O183" s="76">
        <v>910</v>
      </c>
      <c r="P183" s="78">
        <v>0.09</v>
      </c>
    </row>
    <row r="184" spans="7:16" x14ac:dyDescent="0.3">
      <c r="G184" t="s">
        <v>894</v>
      </c>
      <c r="H184" s="76" t="s">
        <v>619</v>
      </c>
      <c r="I184" s="76" t="s">
        <v>620</v>
      </c>
      <c r="J184" s="76" t="s">
        <v>372</v>
      </c>
      <c r="K184" s="76" t="s">
        <v>895</v>
      </c>
      <c r="L184" s="76" t="s">
        <v>391</v>
      </c>
      <c r="M184" s="76" t="s">
        <v>896</v>
      </c>
      <c r="N184" s="76">
        <v>30</v>
      </c>
      <c r="O184" s="76">
        <v>28</v>
      </c>
      <c r="P184" s="78">
        <v>6.6699999999999995E-2</v>
      </c>
    </row>
    <row r="185" spans="7:16" x14ac:dyDescent="0.3">
      <c r="G185" t="s">
        <v>897</v>
      </c>
      <c r="H185" s="76" t="s">
        <v>547</v>
      </c>
      <c r="I185" s="76" t="s">
        <v>548</v>
      </c>
      <c r="J185" s="76" t="s">
        <v>360</v>
      </c>
      <c r="K185" s="77">
        <v>41641</v>
      </c>
      <c r="L185" s="76" t="s">
        <v>385</v>
      </c>
      <c r="M185" s="76" t="s">
        <v>898</v>
      </c>
      <c r="N185" s="76">
        <v>50</v>
      </c>
      <c r="O185" s="76">
        <v>44</v>
      </c>
      <c r="P185" s="78">
        <v>0.12</v>
      </c>
    </row>
    <row r="186" spans="7:16" x14ac:dyDescent="0.3">
      <c r="G186" t="s">
        <v>899</v>
      </c>
      <c r="H186" s="76" t="s">
        <v>638</v>
      </c>
      <c r="I186" s="76" t="s">
        <v>639</v>
      </c>
      <c r="J186" s="76" t="s">
        <v>360</v>
      </c>
      <c r="K186" s="76" t="s">
        <v>900</v>
      </c>
      <c r="L186" s="76" t="s">
        <v>361</v>
      </c>
      <c r="M186" s="76" t="s">
        <v>698</v>
      </c>
      <c r="N186" s="76">
        <v>80</v>
      </c>
      <c r="O186" s="76">
        <v>75</v>
      </c>
      <c r="P186" s="78">
        <v>6.25E-2</v>
      </c>
    </row>
    <row r="187" spans="7:16" x14ac:dyDescent="0.3">
      <c r="G187" t="s">
        <v>901</v>
      </c>
      <c r="H187" s="76" t="s">
        <v>845</v>
      </c>
      <c r="I187" s="76" t="s">
        <v>846</v>
      </c>
      <c r="J187" s="76" t="s">
        <v>360</v>
      </c>
      <c r="K187" s="76" t="s">
        <v>902</v>
      </c>
      <c r="L187" s="76" t="s">
        <v>475</v>
      </c>
      <c r="M187" s="76" t="s">
        <v>903</v>
      </c>
      <c r="N187" s="76">
        <v>250</v>
      </c>
      <c r="O187" s="76">
        <v>225</v>
      </c>
      <c r="P187" s="78">
        <v>0.1</v>
      </c>
    </row>
    <row r="188" spans="7:16" x14ac:dyDescent="0.3">
      <c r="G188" t="s">
        <v>904</v>
      </c>
      <c r="H188" s="76" t="s">
        <v>376</v>
      </c>
      <c r="I188" s="76" t="s">
        <v>377</v>
      </c>
      <c r="J188" s="76" t="s">
        <v>360</v>
      </c>
      <c r="K188" s="76" t="s">
        <v>905</v>
      </c>
      <c r="L188" s="76" t="s">
        <v>391</v>
      </c>
      <c r="M188" s="76" t="s">
        <v>906</v>
      </c>
      <c r="N188" s="76">
        <v>30</v>
      </c>
      <c r="O188" s="76">
        <v>30</v>
      </c>
      <c r="P188" s="78">
        <v>0</v>
      </c>
    </row>
    <row r="189" spans="7:16" x14ac:dyDescent="0.3">
      <c r="G189" t="s">
        <v>907</v>
      </c>
      <c r="H189" s="76" t="s">
        <v>619</v>
      </c>
      <c r="I189" s="76" t="s">
        <v>620</v>
      </c>
      <c r="J189" s="76" t="s">
        <v>372</v>
      </c>
      <c r="K189" s="76" t="s">
        <v>908</v>
      </c>
      <c r="L189" s="76" t="s">
        <v>475</v>
      </c>
      <c r="M189" s="76" t="s">
        <v>685</v>
      </c>
      <c r="N189" s="76">
        <v>250</v>
      </c>
      <c r="O189" s="76">
        <v>210</v>
      </c>
      <c r="P189" s="78">
        <v>0.16</v>
      </c>
    </row>
    <row r="190" spans="7:16" x14ac:dyDescent="0.3">
      <c r="G190" t="s">
        <v>909</v>
      </c>
      <c r="H190" s="76" t="s">
        <v>358</v>
      </c>
      <c r="I190" s="76" t="s">
        <v>359</v>
      </c>
      <c r="J190" s="76" t="s">
        <v>360</v>
      </c>
      <c r="K190" s="76" t="s">
        <v>910</v>
      </c>
      <c r="L190" s="76" t="s">
        <v>475</v>
      </c>
      <c r="M190" s="76" t="s">
        <v>575</v>
      </c>
      <c r="N190" s="76">
        <v>250</v>
      </c>
      <c r="O190" s="76">
        <v>250</v>
      </c>
      <c r="P190" s="78">
        <v>0</v>
      </c>
    </row>
    <row r="191" spans="7:16" x14ac:dyDescent="0.3">
      <c r="G191" t="s">
        <v>911</v>
      </c>
      <c r="H191" s="76" t="s">
        <v>547</v>
      </c>
      <c r="I191" s="76" t="s">
        <v>548</v>
      </c>
      <c r="J191" s="76" t="s">
        <v>360</v>
      </c>
      <c r="K191" s="76" t="s">
        <v>912</v>
      </c>
      <c r="L191" s="76" t="s">
        <v>396</v>
      </c>
      <c r="M191" s="76" t="s">
        <v>913</v>
      </c>
      <c r="N191" s="76">
        <v>500</v>
      </c>
      <c r="O191" s="76">
        <v>480</v>
      </c>
      <c r="P191" s="78">
        <v>0.04</v>
      </c>
    </row>
    <row r="192" spans="7:16" x14ac:dyDescent="0.3">
      <c r="G192" t="s">
        <v>914</v>
      </c>
      <c r="H192" s="76" t="s">
        <v>382</v>
      </c>
      <c r="I192" s="76" t="s">
        <v>383</v>
      </c>
      <c r="J192" s="76" t="s">
        <v>384</v>
      </c>
      <c r="K192" s="77">
        <v>42463</v>
      </c>
      <c r="L192" s="76" t="s">
        <v>411</v>
      </c>
      <c r="M192" s="76" t="s">
        <v>915</v>
      </c>
      <c r="N192" s="76">
        <v>1000</v>
      </c>
      <c r="O192" s="76">
        <v>970</v>
      </c>
      <c r="P192" s="78">
        <v>0.03</v>
      </c>
    </row>
    <row r="193" spans="7:16" x14ac:dyDescent="0.3">
      <c r="G193" t="s">
        <v>916</v>
      </c>
      <c r="H193" s="76" t="s">
        <v>747</v>
      </c>
      <c r="I193" s="76" t="s">
        <v>748</v>
      </c>
      <c r="J193" s="76" t="s">
        <v>360</v>
      </c>
      <c r="K193" s="76" t="s">
        <v>738</v>
      </c>
      <c r="L193" s="76" t="s">
        <v>379</v>
      </c>
      <c r="M193" s="76" t="s">
        <v>917</v>
      </c>
      <c r="N193" s="76">
        <v>150</v>
      </c>
      <c r="O193" s="76">
        <v>144</v>
      </c>
      <c r="P193" s="78">
        <v>0.04</v>
      </c>
    </row>
    <row r="194" spans="7:16" x14ac:dyDescent="0.3">
      <c r="G194" t="s">
        <v>918</v>
      </c>
      <c r="H194" s="76" t="s">
        <v>494</v>
      </c>
      <c r="I194" s="76" t="s">
        <v>465</v>
      </c>
      <c r="J194" s="76" t="s">
        <v>366</v>
      </c>
      <c r="K194" s="76" t="s">
        <v>919</v>
      </c>
      <c r="L194" s="76" t="s">
        <v>373</v>
      </c>
      <c r="M194" s="76" t="s">
        <v>495</v>
      </c>
      <c r="N194" s="76">
        <v>700</v>
      </c>
      <c r="O194" s="76">
        <v>637</v>
      </c>
      <c r="P194" s="78">
        <v>0.09</v>
      </c>
    </row>
    <row r="195" spans="7:16" x14ac:dyDescent="0.3">
      <c r="G195" t="s">
        <v>920</v>
      </c>
      <c r="H195" s="76" t="s">
        <v>469</v>
      </c>
      <c r="I195" s="76" t="s">
        <v>435</v>
      </c>
      <c r="J195" s="76" t="s">
        <v>360</v>
      </c>
      <c r="K195" s="76" t="s">
        <v>921</v>
      </c>
      <c r="L195" s="76" t="s">
        <v>461</v>
      </c>
      <c r="M195" s="76" t="s">
        <v>922</v>
      </c>
      <c r="N195" s="76">
        <v>70</v>
      </c>
      <c r="O195" s="76">
        <v>63</v>
      </c>
      <c r="P195" s="78">
        <v>0.1</v>
      </c>
    </row>
    <row r="196" spans="7:16" x14ac:dyDescent="0.3">
      <c r="G196" t="s">
        <v>923</v>
      </c>
      <c r="H196" s="76" t="s">
        <v>469</v>
      </c>
      <c r="I196" s="76" t="s">
        <v>435</v>
      </c>
      <c r="J196" s="76" t="s">
        <v>360</v>
      </c>
      <c r="K196" s="77">
        <v>43227</v>
      </c>
      <c r="L196" s="76" t="s">
        <v>373</v>
      </c>
      <c r="M196" s="76" t="s">
        <v>808</v>
      </c>
      <c r="N196" s="76">
        <v>700</v>
      </c>
      <c r="O196" s="76">
        <v>672</v>
      </c>
      <c r="P196" s="78">
        <v>0.04</v>
      </c>
    </row>
    <row r="197" spans="7:16" x14ac:dyDescent="0.3">
      <c r="G197" t="s">
        <v>924</v>
      </c>
      <c r="H197" s="76" t="s">
        <v>611</v>
      </c>
      <c r="I197" s="76" t="s">
        <v>389</v>
      </c>
      <c r="J197" s="76" t="s">
        <v>384</v>
      </c>
      <c r="K197" s="76" t="s">
        <v>925</v>
      </c>
      <c r="L197" s="76" t="s">
        <v>483</v>
      </c>
      <c r="M197" s="76" t="s">
        <v>666</v>
      </c>
      <c r="N197" s="76">
        <v>50</v>
      </c>
      <c r="O197" s="76">
        <v>42</v>
      </c>
      <c r="P197" s="78">
        <v>0.16</v>
      </c>
    </row>
    <row r="198" spans="7:16" x14ac:dyDescent="0.3">
      <c r="G198" t="s">
        <v>926</v>
      </c>
      <c r="H198" s="76" t="s">
        <v>449</v>
      </c>
      <c r="I198" s="76" t="s">
        <v>450</v>
      </c>
      <c r="J198" s="76" t="s">
        <v>360</v>
      </c>
      <c r="K198" s="76" t="s">
        <v>927</v>
      </c>
      <c r="L198" s="76" t="s">
        <v>361</v>
      </c>
      <c r="M198" s="76" t="s">
        <v>928</v>
      </c>
      <c r="N198" s="76">
        <v>80</v>
      </c>
      <c r="O198" s="76">
        <v>78</v>
      </c>
      <c r="P198" s="78">
        <v>2.5000000000000001E-2</v>
      </c>
    </row>
    <row r="199" spans="7:16" x14ac:dyDescent="0.3">
      <c r="G199" t="s">
        <v>929</v>
      </c>
      <c r="H199" s="76" t="s">
        <v>891</v>
      </c>
      <c r="I199" s="76" t="s">
        <v>892</v>
      </c>
      <c r="J199" s="76" t="s">
        <v>372</v>
      </c>
      <c r="K199" s="76" t="s">
        <v>930</v>
      </c>
      <c r="L199" s="76" t="s">
        <v>385</v>
      </c>
      <c r="M199" s="76" t="s">
        <v>931</v>
      </c>
      <c r="N199" s="76">
        <v>50</v>
      </c>
      <c r="O199" s="76">
        <v>49</v>
      </c>
      <c r="P199" s="78">
        <v>0.02</v>
      </c>
    </row>
    <row r="200" spans="7:16" x14ac:dyDescent="0.3">
      <c r="G200" t="s">
        <v>932</v>
      </c>
      <c r="H200" s="76" t="s">
        <v>528</v>
      </c>
      <c r="I200" s="76" t="s">
        <v>465</v>
      </c>
      <c r="J200" s="76" t="s">
        <v>366</v>
      </c>
      <c r="K200" s="77">
        <v>41760</v>
      </c>
      <c r="L200" s="76" t="s">
        <v>475</v>
      </c>
      <c r="M200" s="76" t="s">
        <v>933</v>
      </c>
      <c r="N200" s="76">
        <v>250</v>
      </c>
      <c r="O200" s="76">
        <v>193</v>
      </c>
      <c r="P200" s="78">
        <v>0.22800000000000001</v>
      </c>
    </row>
    <row r="201" spans="7:16" x14ac:dyDescent="0.3">
      <c r="G201" t="s">
        <v>934</v>
      </c>
      <c r="H201" s="76" t="s">
        <v>358</v>
      </c>
      <c r="I201" s="76" t="s">
        <v>359</v>
      </c>
      <c r="J201" s="76" t="s">
        <v>360</v>
      </c>
      <c r="K201" s="76" t="s">
        <v>935</v>
      </c>
      <c r="L201" s="76" t="s">
        <v>361</v>
      </c>
      <c r="M201" s="76" t="s">
        <v>706</v>
      </c>
      <c r="N201" s="76">
        <v>80</v>
      </c>
      <c r="O201" s="76">
        <v>76</v>
      </c>
      <c r="P201" s="78">
        <v>0.05</v>
      </c>
    </row>
    <row r="202" spans="7:16" x14ac:dyDescent="0.3">
      <c r="G202" t="s">
        <v>936</v>
      </c>
      <c r="H202" s="76" t="s">
        <v>494</v>
      </c>
      <c r="I202" s="76" t="s">
        <v>465</v>
      </c>
      <c r="J202" s="76" t="s">
        <v>366</v>
      </c>
      <c r="K202" s="76" t="s">
        <v>937</v>
      </c>
      <c r="L202" s="76" t="s">
        <v>373</v>
      </c>
      <c r="M202" s="76" t="s">
        <v>600</v>
      </c>
      <c r="N202" s="76">
        <v>700</v>
      </c>
      <c r="O202" s="76">
        <v>672</v>
      </c>
      <c r="P202" s="78">
        <v>0.04</v>
      </c>
    </row>
    <row r="203" spans="7:16" x14ac:dyDescent="0.3">
      <c r="G203" t="s">
        <v>938</v>
      </c>
      <c r="H203" s="76" t="s">
        <v>551</v>
      </c>
      <c r="I203" s="76" t="s">
        <v>552</v>
      </c>
      <c r="J203" s="76" t="s">
        <v>360</v>
      </c>
      <c r="K203" s="76" t="s">
        <v>939</v>
      </c>
      <c r="L203" s="76" t="s">
        <v>391</v>
      </c>
      <c r="M203" s="76" t="s">
        <v>742</v>
      </c>
      <c r="N203" s="76">
        <v>30</v>
      </c>
      <c r="O203" s="76">
        <v>28</v>
      </c>
      <c r="P203" s="78">
        <v>6.6699999999999995E-2</v>
      </c>
    </row>
    <row r="204" spans="7:16" x14ac:dyDescent="0.3">
      <c r="G204" t="s">
        <v>940</v>
      </c>
      <c r="H204" s="76" t="s">
        <v>376</v>
      </c>
      <c r="I204" s="76" t="s">
        <v>377</v>
      </c>
      <c r="J204" s="76" t="s">
        <v>360</v>
      </c>
      <c r="K204" s="77">
        <v>41862</v>
      </c>
      <c r="L204" s="76" t="s">
        <v>361</v>
      </c>
      <c r="M204" s="76" t="s">
        <v>941</v>
      </c>
      <c r="N204" s="76">
        <v>80</v>
      </c>
      <c r="O204" s="76">
        <v>66</v>
      </c>
      <c r="P204" s="78">
        <v>0.17499999999999999</v>
      </c>
    </row>
    <row r="205" spans="7:16" x14ac:dyDescent="0.3">
      <c r="G205" t="s">
        <v>942</v>
      </c>
      <c r="H205" s="76" t="s">
        <v>845</v>
      </c>
      <c r="I205" s="76" t="s">
        <v>846</v>
      </c>
      <c r="J205" s="76" t="s">
        <v>360</v>
      </c>
      <c r="K205" s="77">
        <v>42222</v>
      </c>
      <c r="L205" s="76" t="s">
        <v>483</v>
      </c>
      <c r="M205" s="76" t="s">
        <v>848</v>
      </c>
      <c r="N205" s="76">
        <v>50</v>
      </c>
      <c r="O205" s="76">
        <v>48</v>
      </c>
      <c r="P205" s="78">
        <v>0.04</v>
      </c>
    </row>
    <row r="206" spans="7:16" x14ac:dyDescent="0.3">
      <c r="G206" t="s">
        <v>943</v>
      </c>
      <c r="H206" s="76" t="s">
        <v>551</v>
      </c>
      <c r="I206" s="76" t="s">
        <v>552</v>
      </c>
      <c r="J206" s="76" t="s">
        <v>360</v>
      </c>
      <c r="K206" s="77">
        <v>41975</v>
      </c>
      <c r="L206" s="76" t="s">
        <v>396</v>
      </c>
      <c r="M206" s="76" t="s">
        <v>944</v>
      </c>
      <c r="N206" s="76">
        <v>500</v>
      </c>
      <c r="O206" s="76">
        <v>370</v>
      </c>
      <c r="P206" s="78">
        <v>0.26</v>
      </c>
    </row>
    <row r="207" spans="7:16" x14ac:dyDescent="0.3">
      <c r="G207" t="s">
        <v>945</v>
      </c>
      <c r="H207" s="76" t="s">
        <v>494</v>
      </c>
      <c r="I207" s="76" t="s">
        <v>465</v>
      </c>
      <c r="J207" s="76" t="s">
        <v>366</v>
      </c>
      <c r="K207" s="76" t="s">
        <v>946</v>
      </c>
      <c r="L207" s="76" t="s">
        <v>361</v>
      </c>
      <c r="M207" s="76" t="s">
        <v>947</v>
      </c>
      <c r="N207" s="76">
        <v>80</v>
      </c>
      <c r="O207" s="76">
        <v>72</v>
      </c>
      <c r="P207" s="78">
        <v>0.1</v>
      </c>
    </row>
    <row r="208" spans="7:16" x14ac:dyDescent="0.3">
      <c r="G208" t="s">
        <v>948</v>
      </c>
      <c r="H208" s="76" t="s">
        <v>473</v>
      </c>
      <c r="I208" s="76" t="s">
        <v>404</v>
      </c>
      <c r="J208" s="76" t="s">
        <v>360</v>
      </c>
      <c r="K208" s="76" t="s">
        <v>949</v>
      </c>
      <c r="L208" s="76" t="s">
        <v>361</v>
      </c>
      <c r="M208" s="76" t="s">
        <v>950</v>
      </c>
      <c r="N208" s="76">
        <v>80</v>
      </c>
      <c r="O208" s="76">
        <v>58</v>
      </c>
      <c r="P208" s="78">
        <v>0.27500000000000002</v>
      </c>
    </row>
    <row r="209" spans="7:16" x14ac:dyDescent="0.3">
      <c r="G209" t="s">
        <v>951</v>
      </c>
      <c r="H209" s="76" t="s">
        <v>364</v>
      </c>
      <c r="I209" s="76" t="s">
        <v>365</v>
      </c>
      <c r="J209" s="76" t="s">
        <v>366</v>
      </c>
      <c r="K209" s="77">
        <v>43169</v>
      </c>
      <c r="L209" s="76" t="s">
        <v>361</v>
      </c>
      <c r="M209" s="76" t="s">
        <v>952</v>
      </c>
      <c r="N209" s="76">
        <v>80</v>
      </c>
      <c r="O209" s="76">
        <v>73</v>
      </c>
      <c r="P209" s="78">
        <v>8.7499999999999994E-2</v>
      </c>
    </row>
    <row r="210" spans="7:16" x14ac:dyDescent="0.3">
      <c r="G210" t="s">
        <v>953</v>
      </c>
      <c r="H210" s="76" t="s">
        <v>524</v>
      </c>
      <c r="I210" s="76" t="s">
        <v>465</v>
      </c>
      <c r="J210" s="76" t="s">
        <v>366</v>
      </c>
      <c r="K210" s="77">
        <v>42158</v>
      </c>
      <c r="L210" s="76" t="s">
        <v>405</v>
      </c>
      <c r="M210" s="76" t="s">
        <v>526</v>
      </c>
      <c r="N210" s="76">
        <v>800</v>
      </c>
      <c r="O210" s="76">
        <v>776</v>
      </c>
      <c r="P210" s="78">
        <v>0.03</v>
      </c>
    </row>
    <row r="211" spans="7:16" x14ac:dyDescent="0.3">
      <c r="G211" t="s">
        <v>954</v>
      </c>
      <c r="H211" s="76" t="s">
        <v>700</v>
      </c>
      <c r="I211" s="76" t="s">
        <v>465</v>
      </c>
      <c r="J211" s="76" t="s">
        <v>366</v>
      </c>
      <c r="K211" s="76" t="s">
        <v>955</v>
      </c>
      <c r="L211" s="76" t="s">
        <v>379</v>
      </c>
      <c r="M211" s="76" t="s">
        <v>956</v>
      </c>
      <c r="N211" s="76">
        <v>150</v>
      </c>
      <c r="O211" s="76">
        <v>147</v>
      </c>
      <c r="P211" s="78">
        <v>0.02</v>
      </c>
    </row>
    <row r="212" spans="7:16" x14ac:dyDescent="0.3">
      <c r="G212" t="s">
        <v>957</v>
      </c>
      <c r="H212" s="76" t="s">
        <v>370</v>
      </c>
      <c r="I212" s="76" t="s">
        <v>371</v>
      </c>
      <c r="J212" s="76" t="s">
        <v>372</v>
      </c>
      <c r="K212" s="77">
        <v>42614</v>
      </c>
      <c r="L212" s="76" t="s">
        <v>379</v>
      </c>
      <c r="M212" s="76" t="s">
        <v>958</v>
      </c>
      <c r="N212" s="76">
        <v>150</v>
      </c>
      <c r="O212" s="76">
        <v>134</v>
      </c>
      <c r="P212" s="78">
        <v>0.1067</v>
      </c>
    </row>
    <row r="213" spans="7:16" x14ac:dyDescent="0.3">
      <c r="G213" t="s">
        <v>959</v>
      </c>
      <c r="H213" s="76" t="s">
        <v>547</v>
      </c>
      <c r="I213" s="76" t="s">
        <v>548</v>
      </c>
      <c r="J213" s="76" t="s">
        <v>360</v>
      </c>
      <c r="K213" s="76" t="s">
        <v>960</v>
      </c>
      <c r="L213" s="76" t="s">
        <v>391</v>
      </c>
      <c r="M213" s="76" t="s">
        <v>898</v>
      </c>
      <c r="N213" s="76">
        <v>30</v>
      </c>
      <c r="O213" s="76">
        <v>8</v>
      </c>
      <c r="P213" s="78">
        <v>0.73329999999999995</v>
      </c>
    </row>
    <row r="214" spans="7:16" x14ac:dyDescent="0.3">
      <c r="G214" t="s">
        <v>961</v>
      </c>
      <c r="H214" s="76" t="s">
        <v>845</v>
      </c>
      <c r="I214" s="76" t="s">
        <v>846</v>
      </c>
      <c r="J214" s="76" t="s">
        <v>360</v>
      </c>
      <c r="K214" s="76" t="s">
        <v>962</v>
      </c>
      <c r="L214" s="76" t="s">
        <v>379</v>
      </c>
      <c r="M214" s="76" t="s">
        <v>963</v>
      </c>
      <c r="N214" s="76">
        <v>150</v>
      </c>
      <c r="O214" s="76">
        <v>135</v>
      </c>
      <c r="P214" s="78">
        <v>0.1</v>
      </c>
    </row>
    <row r="215" spans="7:16" x14ac:dyDescent="0.3">
      <c r="G215" t="s">
        <v>964</v>
      </c>
      <c r="H215" s="76" t="s">
        <v>891</v>
      </c>
      <c r="I215" s="76" t="s">
        <v>892</v>
      </c>
      <c r="J215" s="76" t="s">
        <v>372</v>
      </c>
      <c r="K215" s="76" t="s">
        <v>722</v>
      </c>
      <c r="L215" s="76" t="s">
        <v>461</v>
      </c>
      <c r="M215" s="76" t="s">
        <v>931</v>
      </c>
      <c r="N215" s="76">
        <v>70</v>
      </c>
      <c r="O215" s="76">
        <v>59</v>
      </c>
      <c r="P215" s="78">
        <v>0.15709999999999999</v>
      </c>
    </row>
    <row r="216" spans="7:16" x14ac:dyDescent="0.3">
      <c r="G216" t="s">
        <v>965</v>
      </c>
      <c r="H216" s="76" t="s">
        <v>459</v>
      </c>
      <c r="I216" s="76" t="s">
        <v>422</v>
      </c>
      <c r="J216" s="76" t="s">
        <v>384</v>
      </c>
      <c r="K216" s="76" t="s">
        <v>966</v>
      </c>
      <c r="L216" s="76" t="s">
        <v>411</v>
      </c>
      <c r="M216" s="76" t="s">
        <v>646</v>
      </c>
      <c r="N216" s="76">
        <v>1000</v>
      </c>
      <c r="O216" s="76">
        <v>500</v>
      </c>
      <c r="P216" s="78">
        <v>0.5</v>
      </c>
    </row>
    <row r="217" spans="7:16" x14ac:dyDescent="0.3">
      <c r="G217" t="s">
        <v>967</v>
      </c>
      <c r="H217" s="76" t="s">
        <v>524</v>
      </c>
      <c r="I217" s="76" t="s">
        <v>465</v>
      </c>
      <c r="J217" s="76" t="s">
        <v>366</v>
      </c>
      <c r="K217" s="76" t="s">
        <v>968</v>
      </c>
      <c r="L217" s="76" t="s">
        <v>396</v>
      </c>
      <c r="M217" s="76" t="s">
        <v>969</v>
      </c>
      <c r="N217" s="76">
        <v>500</v>
      </c>
      <c r="O217" s="76">
        <v>495</v>
      </c>
      <c r="P217" s="78">
        <v>0.01</v>
      </c>
    </row>
    <row r="218" spans="7:16" x14ac:dyDescent="0.3">
      <c r="G218" t="s">
        <v>970</v>
      </c>
      <c r="H218" s="76" t="s">
        <v>747</v>
      </c>
      <c r="I218" s="76" t="s">
        <v>748</v>
      </c>
      <c r="J218" s="76" t="s">
        <v>360</v>
      </c>
      <c r="K218" s="76" t="s">
        <v>971</v>
      </c>
      <c r="L218" s="76" t="s">
        <v>385</v>
      </c>
      <c r="M218" s="76" t="s">
        <v>749</v>
      </c>
      <c r="N218" s="76">
        <v>50</v>
      </c>
      <c r="O218" s="76">
        <v>49</v>
      </c>
      <c r="P218" s="78">
        <v>0.02</v>
      </c>
    </row>
    <row r="219" spans="7:16" x14ac:dyDescent="0.3">
      <c r="G219" t="s">
        <v>972</v>
      </c>
      <c r="H219" s="76" t="s">
        <v>364</v>
      </c>
      <c r="I219" s="76" t="s">
        <v>365</v>
      </c>
      <c r="J219" s="76" t="s">
        <v>366</v>
      </c>
      <c r="K219" s="77">
        <v>41913</v>
      </c>
      <c r="L219" s="76" t="s">
        <v>483</v>
      </c>
      <c r="M219" s="76" t="s">
        <v>973</v>
      </c>
      <c r="N219" s="76">
        <v>50</v>
      </c>
      <c r="O219" s="76">
        <v>48</v>
      </c>
      <c r="P219" s="78">
        <v>0.04</v>
      </c>
    </row>
    <row r="220" spans="7:16" x14ac:dyDescent="0.3">
      <c r="G220" t="s">
        <v>974</v>
      </c>
      <c r="H220" s="76" t="s">
        <v>444</v>
      </c>
      <c r="I220" s="76" t="s">
        <v>445</v>
      </c>
      <c r="J220" s="76" t="s">
        <v>384</v>
      </c>
      <c r="K220" s="77">
        <v>42103</v>
      </c>
      <c r="L220" s="76" t="s">
        <v>373</v>
      </c>
      <c r="M220" s="76" t="s">
        <v>975</v>
      </c>
      <c r="N220" s="76">
        <v>700</v>
      </c>
      <c r="O220" s="76">
        <v>560</v>
      </c>
      <c r="P220" s="78">
        <v>0.2</v>
      </c>
    </row>
    <row r="221" spans="7:16" x14ac:dyDescent="0.3">
      <c r="G221" t="s">
        <v>976</v>
      </c>
      <c r="H221" s="76" t="s">
        <v>459</v>
      </c>
      <c r="I221" s="76" t="s">
        <v>422</v>
      </c>
      <c r="J221" s="76" t="s">
        <v>384</v>
      </c>
      <c r="K221" s="77">
        <v>41737</v>
      </c>
      <c r="L221" s="76" t="s">
        <v>411</v>
      </c>
      <c r="M221" s="76" t="s">
        <v>977</v>
      </c>
      <c r="N221" s="76">
        <v>1000</v>
      </c>
      <c r="O221" s="76">
        <v>500</v>
      </c>
      <c r="P221" s="78">
        <v>0.5</v>
      </c>
    </row>
    <row r="222" spans="7:16" x14ac:dyDescent="0.3">
      <c r="G222" t="s">
        <v>978</v>
      </c>
      <c r="H222" s="76" t="s">
        <v>524</v>
      </c>
      <c r="I222" s="76" t="s">
        <v>465</v>
      </c>
      <c r="J222" s="76" t="s">
        <v>366</v>
      </c>
      <c r="K222" s="76" t="s">
        <v>979</v>
      </c>
      <c r="L222" s="76" t="s">
        <v>424</v>
      </c>
      <c r="M222" s="76" t="s">
        <v>969</v>
      </c>
      <c r="N222" s="76">
        <v>500</v>
      </c>
      <c r="O222" s="76">
        <v>495</v>
      </c>
      <c r="P222" s="78">
        <v>0.01</v>
      </c>
    </row>
    <row r="223" spans="7:16" x14ac:dyDescent="0.3">
      <c r="G223" t="s">
        <v>980</v>
      </c>
      <c r="H223" s="76" t="s">
        <v>700</v>
      </c>
      <c r="I223" s="76" t="s">
        <v>465</v>
      </c>
      <c r="J223" s="76" t="s">
        <v>366</v>
      </c>
      <c r="K223" s="77">
        <v>42470</v>
      </c>
      <c r="L223" s="76" t="s">
        <v>391</v>
      </c>
      <c r="M223" s="76" t="s">
        <v>981</v>
      </c>
      <c r="N223" s="76">
        <v>30</v>
      </c>
      <c r="O223" s="76">
        <v>29</v>
      </c>
      <c r="P223" s="78">
        <v>3.3300000000000003E-2</v>
      </c>
    </row>
    <row r="224" spans="7:16" x14ac:dyDescent="0.3">
      <c r="G224" t="s">
        <v>982</v>
      </c>
      <c r="H224" s="76" t="s">
        <v>560</v>
      </c>
      <c r="I224" s="76" t="s">
        <v>465</v>
      </c>
      <c r="J224" s="76" t="s">
        <v>366</v>
      </c>
      <c r="K224" s="77">
        <v>41797</v>
      </c>
      <c r="L224" s="76" t="s">
        <v>483</v>
      </c>
      <c r="M224" s="76" t="s">
        <v>983</v>
      </c>
      <c r="N224" s="76">
        <v>50</v>
      </c>
      <c r="O224" s="76">
        <v>44</v>
      </c>
      <c r="P224" s="78">
        <v>0.12</v>
      </c>
    </row>
    <row r="225" spans="7:16" x14ac:dyDescent="0.3">
      <c r="G225" t="s">
        <v>984</v>
      </c>
      <c r="H225" s="76" t="s">
        <v>469</v>
      </c>
      <c r="I225" s="76" t="s">
        <v>435</v>
      </c>
      <c r="J225" s="76" t="s">
        <v>360</v>
      </c>
      <c r="K225" s="77">
        <v>41707</v>
      </c>
      <c r="L225" s="76" t="s">
        <v>411</v>
      </c>
      <c r="M225" s="76" t="s">
        <v>808</v>
      </c>
      <c r="N225" s="76">
        <v>1000</v>
      </c>
      <c r="O225" s="76">
        <v>710</v>
      </c>
      <c r="P225" s="78">
        <v>0.28999999999999998</v>
      </c>
    </row>
    <row r="226" spans="7:16" x14ac:dyDescent="0.3">
      <c r="G226" t="s">
        <v>985</v>
      </c>
      <c r="H226" s="76" t="s">
        <v>560</v>
      </c>
      <c r="I226" s="76" t="s">
        <v>465</v>
      </c>
      <c r="J226" s="76" t="s">
        <v>366</v>
      </c>
      <c r="K226" s="76" t="s">
        <v>986</v>
      </c>
      <c r="L226" s="76" t="s">
        <v>379</v>
      </c>
      <c r="M226" s="76" t="s">
        <v>987</v>
      </c>
      <c r="N226" s="76">
        <v>150</v>
      </c>
      <c r="O226" s="76">
        <v>150</v>
      </c>
      <c r="P226" s="78">
        <v>0</v>
      </c>
    </row>
    <row r="227" spans="7:16" x14ac:dyDescent="0.3">
      <c r="G227" t="s">
        <v>988</v>
      </c>
      <c r="H227" s="76" t="s">
        <v>444</v>
      </c>
      <c r="I227" s="76" t="s">
        <v>445</v>
      </c>
      <c r="J227" s="76" t="s">
        <v>384</v>
      </c>
      <c r="K227" s="76" t="s">
        <v>989</v>
      </c>
      <c r="L227" s="76" t="s">
        <v>385</v>
      </c>
      <c r="M227" s="76" t="s">
        <v>990</v>
      </c>
      <c r="N227" s="76">
        <v>50</v>
      </c>
      <c r="O227" s="76">
        <v>44</v>
      </c>
      <c r="P227" s="78">
        <v>0.12</v>
      </c>
    </row>
    <row r="228" spans="7:16" x14ac:dyDescent="0.3">
      <c r="G228" t="s">
        <v>991</v>
      </c>
      <c r="H228" s="76" t="s">
        <v>615</v>
      </c>
      <c r="I228" s="76" t="s">
        <v>400</v>
      </c>
      <c r="J228" s="76" t="s">
        <v>372</v>
      </c>
      <c r="K228" s="77">
        <v>42127</v>
      </c>
      <c r="L228" s="76" t="s">
        <v>391</v>
      </c>
      <c r="M228" s="76" t="s">
        <v>992</v>
      </c>
      <c r="N228" s="76">
        <v>30</v>
      </c>
      <c r="O228" s="76">
        <v>24</v>
      </c>
      <c r="P228" s="78">
        <v>0.2</v>
      </c>
    </row>
    <row r="229" spans="7:16" x14ac:dyDescent="0.3">
      <c r="G229" t="s">
        <v>993</v>
      </c>
      <c r="H229" s="76" t="s">
        <v>891</v>
      </c>
      <c r="I229" s="76" t="s">
        <v>892</v>
      </c>
      <c r="J229" s="76" t="s">
        <v>372</v>
      </c>
      <c r="K229" s="76" t="s">
        <v>994</v>
      </c>
      <c r="L229" s="76" t="s">
        <v>475</v>
      </c>
      <c r="M229" s="76" t="s">
        <v>931</v>
      </c>
      <c r="N229" s="76">
        <v>250</v>
      </c>
      <c r="O229" s="76">
        <v>163</v>
      </c>
      <c r="P229" s="78">
        <v>0.34799999999999998</v>
      </c>
    </row>
    <row r="230" spans="7:16" x14ac:dyDescent="0.3">
      <c r="G230" t="s">
        <v>995</v>
      </c>
      <c r="H230" s="76" t="s">
        <v>414</v>
      </c>
      <c r="I230" s="76" t="s">
        <v>415</v>
      </c>
      <c r="J230" s="76" t="s">
        <v>384</v>
      </c>
      <c r="K230" s="77">
        <v>43322</v>
      </c>
      <c r="L230" s="76" t="s">
        <v>361</v>
      </c>
      <c r="M230" s="76" t="s">
        <v>996</v>
      </c>
      <c r="N230" s="76">
        <v>80</v>
      </c>
      <c r="O230" s="76">
        <v>78</v>
      </c>
      <c r="P230" s="78">
        <v>2.5000000000000001E-2</v>
      </c>
    </row>
    <row r="231" spans="7:16" x14ac:dyDescent="0.3">
      <c r="G231" t="s">
        <v>997</v>
      </c>
      <c r="H231" s="76" t="s">
        <v>566</v>
      </c>
      <c r="I231" s="76" t="s">
        <v>567</v>
      </c>
      <c r="J231" s="76" t="s">
        <v>360</v>
      </c>
      <c r="K231" s="76" t="s">
        <v>998</v>
      </c>
      <c r="L231" s="76" t="s">
        <v>361</v>
      </c>
      <c r="M231" s="76" t="s">
        <v>867</v>
      </c>
      <c r="N231" s="76">
        <v>80</v>
      </c>
      <c r="O231" s="76">
        <v>78</v>
      </c>
      <c r="P231" s="78">
        <v>2.5000000000000001E-2</v>
      </c>
    </row>
    <row r="232" spans="7:16" x14ac:dyDescent="0.3">
      <c r="G232" t="s">
        <v>999</v>
      </c>
      <c r="H232" s="76" t="s">
        <v>611</v>
      </c>
      <c r="I232" s="76" t="s">
        <v>389</v>
      </c>
      <c r="J232" s="76" t="s">
        <v>384</v>
      </c>
      <c r="K232" s="77">
        <v>42892</v>
      </c>
      <c r="L232" s="76" t="s">
        <v>373</v>
      </c>
      <c r="M232" s="76" t="s">
        <v>624</v>
      </c>
      <c r="N232" s="76">
        <v>700</v>
      </c>
      <c r="O232" s="76">
        <v>651</v>
      </c>
      <c r="P232" s="78">
        <v>7.0000000000000007E-2</v>
      </c>
    </row>
    <row r="233" spans="7:16" x14ac:dyDescent="0.3">
      <c r="G233" t="s">
        <v>1000</v>
      </c>
      <c r="H233" s="76" t="s">
        <v>438</v>
      </c>
      <c r="I233" s="76" t="s">
        <v>439</v>
      </c>
      <c r="J233" s="76" t="s">
        <v>360</v>
      </c>
      <c r="K233" s="76" t="s">
        <v>1001</v>
      </c>
      <c r="L233" s="76" t="s">
        <v>385</v>
      </c>
      <c r="M233" s="76" t="s">
        <v>1002</v>
      </c>
      <c r="N233" s="76">
        <v>50</v>
      </c>
      <c r="O233" s="76">
        <v>36</v>
      </c>
      <c r="P233" s="78">
        <v>0.28000000000000003</v>
      </c>
    </row>
    <row r="234" spans="7:16" x14ac:dyDescent="0.3">
      <c r="G234" t="s">
        <v>1003</v>
      </c>
      <c r="H234" s="76" t="s">
        <v>547</v>
      </c>
      <c r="I234" s="76" t="s">
        <v>548</v>
      </c>
      <c r="J234" s="76" t="s">
        <v>360</v>
      </c>
      <c r="K234" s="76" t="s">
        <v>1004</v>
      </c>
      <c r="L234" s="76" t="s">
        <v>424</v>
      </c>
      <c r="M234" s="76" t="s">
        <v>1005</v>
      </c>
      <c r="N234" s="76">
        <v>500</v>
      </c>
      <c r="O234" s="76">
        <v>500</v>
      </c>
      <c r="P234" s="78">
        <v>0</v>
      </c>
    </row>
    <row r="235" spans="7:16" x14ac:dyDescent="0.3">
      <c r="G235" t="s">
        <v>1006</v>
      </c>
      <c r="H235" s="76" t="s">
        <v>638</v>
      </c>
      <c r="I235" s="76" t="s">
        <v>639</v>
      </c>
      <c r="J235" s="76" t="s">
        <v>360</v>
      </c>
      <c r="K235" s="76" t="s">
        <v>1007</v>
      </c>
      <c r="L235" s="76" t="s">
        <v>379</v>
      </c>
      <c r="M235" s="76" t="s">
        <v>1008</v>
      </c>
      <c r="N235" s="76">
        <v>150</v>
      </c>
      <c r="O235" s="76">
        <v>140</v>
      </c>
      <c r="P235" s="78">
        <v>6.6699999999999995E-2</v>
      </c>
    </row>
    <row r="236" spans="7:16" x14ac:dyDescent="0.3">
      <c r="G236" t="s">
        <v>1009</v>
      </c>
      <c r="H236" s="76" t="s">
        <v>656</v>
      </c>
      <c r="I236" s="76" t="s">
        <v>657</v>
      </c>
      <c r="J236" s="76" t="s">
        <v>360</v>
      </c>
      <c r="K236" s="77">
        <v>42837</v>
      </c>
      <c r="L236" s="76" t="s">
        <v>373</v>
      </c>
      <c r="M236" s="76" t="s">
        <v>1010</v>
      </c>
      <c r="N236" s="76">
        <v>700</v>
      </c>
      <c r="O236" s="76">
        <v>700</v>
      </c>
      <c r="P236" s="78">
        <v>0</v>
      </c>
    </row>
    <row r="237" spans="7:16" x14ac:dyDescent="0.3">
      <c r="G237" t="s">
        <v>1011</v>
      </c>
      <c r="H237" s="76" t="s">
        <v>429</v>
      </c>
      <c r="I237" s="76" t="s">
        <v>430</v>
      </c>
      <c r="J237" s="76" t="s">
        <v>384</v>
      </c>
      <c r="K237" s="77">
        <v>43073</v>
      </c>
      <c r="L237" s="76" t="s">
        <v>379</v>
      </c>
      <c r="M237" s="76" t="s">
        <v>1012</v>
      </c>
      <c r="N237" s="76">
        <v>150</v>
      </c>
      <c r="O237" s="76">
        <v>144</v>
      </c>
      <c r="P237" s="78">
        <v>0.04</v>
      </c>
    </row>
    <row r="238" spans="7:16" x14ac:dyDescent="0.3">
      <c r="G238" t="s">
        <v>1013</v>
      </c>
      <c r="H238" s="76" t="s">
        <v>489</v>
      </c>
      <c r="I238" s="76" t="s">
        <v>490</v>
      </c>
      <c r="J238" s="76" t="s">
        <v>360</v>
      </c>
      <c r="K238" s="76" t="s">
        <v>1014</v>
      </c>
      <c r="L238" s="76" t="s">
        <v>396</v>
      </c>
      <c r="M238" s="76" t="s">
        <v>1015</v>
      </c>
      <c r="N238" s="76">
        <v>500</v>
      </c>
      <c r="O238" s="76">
        <v>465</v>
      </c>
      <c r="P238" s="78">
        <v>7.0000000000000007E-2</v>
      </c>
    </row>
    <row r="239" spans="7:16" x14ac:dyDescent="0.3">
      <c r="G239" t="s">
        <v>1016</v>
      </c>
      <c r="H239" s="76" t="s">
        <v>675</v>
      </c>
      <c r="I239" s="76" t="s">
        <v>676</v>
      </c>
      <c r="J239" s="76" t="s">
        <v>384</v>
      </c>
      <c r="K239" s="77">
        <v>42493</v>
      </c>
      <c r="L239" s="76" t="s">
        <v>385</v>
      </c>
      <c r="M239" s="76" t="s">
        <v>764</v>
      </c>
      <c r="N239" s="76">
        <v>50</v>
      </c>
      <c r="O239" s="76">
        <v>50</v>
      </c>
      <c r="P239" s="78">
        <v>0</v>
      </c>
    </row>
    <row r="240" spans="7:16" x14ac:dyDescent="0.3">
      <c r="G240" t="s">
        <v>1017</v>
      </c>
      <c r="H240" s="76" t="s">
        <v>414</v>
      </c>
      <c r="I240" s="76" t="s">
        <v>415</v>
      </c>
      <c r="J240" s="76" t="s">
        <v>384</v>
      </c>
      <c r="K240" s="77">
        <v>42311</v>
      </c>
      <c r="L240" s="76" t="s">
        <v>483</v>
      </c>
      <c r="M240" s="76" t="s">
        <v>1018</v>
      </c>
      <c r="N240" s="76">
        <v>50</v>
      </c>
      <c r="O240" s="76">
        <v>49</v>
      </c>
      <c r="P240" s="78">
        <v>0.02</v>
      </c>
    </row>
    <row r="241" spans="7:16" x14ac:dyDescent="0.3">
      <c r="G241" t="s">
        <v>1019</v>
      </c>
      <c r="H241" s="76" t="s">
        <v>464</v>
      </c>
      <c r="I241" s="76" t="s">
        <v>465</v>
      </c>
      <c r="J241" s="76" t="s">
        <v>366</v>
      </c>
      <c r="K241" s="76" t="s">
        <v>1020</v>
      </c>
      <c r="L241" s="76" t="s">
        <v>385</v>
      </c>
      <c r="M241" s="76" t="s">
        <v>1021</v>
      </c>
      <c r="N241" s="76">
        <v>50</v>
      </c>
      <c r="O241" s="76">
        <v>44</v>
      </c>
      <c r="P241" s="78">
        <v>0.12</v>
      </c>
    </row>
    <row r="242" spans="7:16" x14ac:dyDescent="0.3">
      <c r="G242" t="s">
        <v>1022</v>
      </c>
      <c r="H242" s="76" t="s">
        <v>489</v>
      </c>
      <c r="I242" s="76" t="s">
        <v>490</v>
      </c>
      <c r="J242" s="76" t="s">
        <v>360</v>
      </c>
      <c r="K242" s="76" t="s">
        <v>1023</v>
      </c>
      <c r="L242" s="76" t="s">
        <v>424</v>
      </c>
      <c r="M242" s="76" t="s">
        <v>824</v>
      </c>
      <c r="N242" s="76">
        <v>500</v>
      </c>
      <c r="O242" s="76">
        <v>490</v>
      </c>
      <c r="P242" s="78">
        <v>0.02</v>
      </c>
    </row>
    <row r="243" spans="7:16" x14ac:dyDescent="0.3">
      <c r="G243" t="s">
        <v>1024</v>
      </c>
      <c r="H243" s="76" t="s">
        <v>489</v>
      </c>
      <c r="I243" s="76" t="s">
        <v>490</v>
      </c>
      <c r="J243" s="76" t="s">
        <v>360</v>
      </c>
      <c r="K243" s="77">
        <v>43107</v>
      </c>
      <c r="L243" s="76" t="s">
        <v>373</v>
      </c>
      <c r="M243" s="76" t="s">
        <v>1025</v>
      </c>
      <c r="N243" s="76">
        <v>700</v>
      </c>
      <c r="O243" s="76">
        <v>623</v>
      </c>
      <c r="P243" s="78">
        <v>0.11</v>
      </c>
    </row>
    <row r="244" spans="7:16" x14ac:dyDescent="0.3">
      <c r="G244" t="s">
        <v>1026</v>
      </c>
      <c r="H244" s="76" t="s">
        <v>494</v>
      </c>
      <c r="I244" s="76" t="s">
        <v>465</v>
      </c>
      <c r="J244" s="76" t="s">
        <v>366</v>
      </c>
      <c r="K244" s="77">
        <v>41949</v>
      </c>
      <c r="L244" s="76" t="s">
        <v>373</v>
      </c>
      <c r="M244" s="76" t="s">
        <v>1027</v>
      </c>
      <c r="N244" s="76">
        <v>700</v>
      </c>
      <c r="O244" s="76">
        <v>574</v>
      </c>
      <c r="P244" s="78">
        <v>0.18</v>
      </c>
    </row>
    <row r="245" spans="7:16" x14ac:dyDescent="0.3">
      <c r="G245" t="s">
        <v>1028</v>
      </c>
      <c r="H245" s="76" t="s">
        <v>497</v>
      </c>
      <c r="I245" s="76" t="s">
        <v>445</v>
      </c>
      <c r="J245" s="76" t="s">
        <v>384</v>
      </c>
      <c r="K245" s="76" t="s">
        <v>1029</v>
      </c>
      <c r="L245" s="76" t="s">
        <v>461</v>
      </c>
      <c r="M245" s="76" t="s">
        <v>1030</v>
      </c>
      <c r="N245" s="76">
        <v>70</v>
      </c>
      <c r="O245" s="76">
        <v>68</v>
      </c>
      <c r="P245" s="78">
        <v>2.86E-2</v>
      </c>
    </row>
    <row r="246" spans="7:16" x14ac:dyDescent="0.3">
      <c r="G246" t="s">
        <v>1031</v>
      </c>
      <c r="H246" s="76" t="s">
        <v>478</v>
      </c>
      <c r="I246" s="76" t="s">
        <v>479</v>
      </c>
      <c r="J246" s="76" t="s">
        <v>384</v>
      </c>
      <c r="K246" s="76" t="s">
        <v>1032</v>
      </c>
      <c r="L246" s="76" t="s">
        <v>461</v>
      </c>
      <c r="M246" s="76" t="s">
        <v>1033</v>
      </c>
      <c r="N246" s="76">
        <v>70</v>
      </c>
      <c r="O246" s="76">
        <v>69</v>
      </c>
      <c r="P246" s="78">
        <v>1.43E-2</v>
      </c>
    </row>
    <row r="247" spans="7:16" x14ac:dyDescent="0.3">
      <c r="G247" t="s">
        <v>1034</v>
      </c>
      <c r="H247" s="76" t="s">
        <v>891</v>
      </c>
      <c r="I247" s="76" t="s">
        <v>892</v>
      </c>
      <c r="J247" s="76" t="s">
        <v>372</v>
      </c>
      <c r="K247" s="77">
        <v>42677</v>
      </c>
      <c r="L247" s="76" t="s">
        <v>391</v>
      </c>
      <c r="M247" s="76" t="s">
        <v>893</v>
      </c>
      <c r="N247" s="76">
        <v>30</v>
      </c>
      <c r="O247" s="76">
        <v>29</v>
      </c>
      <c r="P247" s="78">
        <v>3.3300000000000003E-2</v>
      </c>
    </row>
    <row r="248" spans="7:16" x14ac:dyDescent="0.3">
      <c r="G248" t="s">
        <v>1035</v>
      </c>
      <c r="H248" s="76" t="s">
        <v>364</v>
      </c>
      <c r="I248" s="76" t="s">
        <v>365</v>
      </c>
      <c r="J248" s="76" t="s">
        <v>366</v>
      </c>
      <c r="K248" s="76" t="s">
        <v>1036</v>
      </c>
      <c r="L248" s="76" t="s">
        <v>405</v>
      </c>
      <c r="M248" s="76" t="s">
        <v>1037</v>
      </c>
      <c r="N248" s="76">
        <v>800</v>
      </c>
      <c r="O248" s="76">
        <v>696</v>
      </c>
      <c r="P248" s="78">
        <v>0.13</v>
      </c>
    </row>
    <row r="249" spans="7:16" x14ac:dyDescent="0.3">
      <c r="G249" t="s">
        <v>1038</v>
      </c>
      <c r="H249" s="76" t="s">
        <v>376</v>
      </c>
      <c r="I249" s="76" t="s">
        <v>377</v>
      </c>
      <c r="J249" s="76" t="s">
        <v>360</v>
      </c>
      <c r="K249" s="76" t="s">
        <v>1039</v>
      </c>
      <c r="L249" s="76" t="s">
        <v>373</v>
      </c>
      <c r="M249" s="76" t="s">
        <v>877</v>
      </c>
      <c r="N249" s="76">
        <v>700</v>
      </c>
      <c r="O249" s="76">
        <v>602</v>
      </c>
      <c r="P249" s="78">
        <v>0.14000000000000001</v>
      </c>
    </row>
    <row r="250" spans="7:16" x14ac:dyDescent="0.3">
      <c r="G250" t="s">
        <v>1040</v>
      </c>
      <c r="H250" s="76" t="s">
        <v>494</v>
      </c>
      <c r="I250" s="76" t="s">
        <v>465</v>
      </c>
      <c r="J250" s="76" t="s">
        <v>366</v>
      </c>
      <c r="K250" s="77">
        <v>41855</v>
      </c>
      <c r="L250" s="76" t="s">
        <v>385</v>
      </c>
      <c r="M250" s="76" t="s">
        <v>1041</v>
      </c>
      <c r="N250" s="76">
        <v>50</v>
      </c>
      <c r="O250" s="76">
        <v>40</v>
      </c>
      <c r="P250" s="78">
        <v>0.2</v>
      </c>
    </row>
    <row r="251" spans="7:16" x14ac:dyDescent="0.3">
      <c r="G251" t="s">
        <v>1042</v>
      </c>
      <c r="H251" s="76" t="s">
        <v>429</v>
      </c>
      <c r="I251" s="76" t="s">
        <v>430</v>
      </c>
      <c r="J251" s="76" t="s">
        <v>384</v>
      </c>
      <c r="K251" s="77">
        <v>42859</v>
      </c>
      <c r="L251" s="76" t="s">
        <v>483</v>
      </c>
      <c r="M251" s="76" t="s">
        <v>1043</v>
      </c>
      <c r="N251" s="76">
        <v>50</v>
      </c>
      <c r="O251" s="76">
        <v>50</v>
      </c>
      <c r="P251" s="78">
        <v>0</v>
      </c>
    </row>
    <row r="252" spans="7:16" x14ac:dyDescent="0.3">
      <c r="G252" t="s">
        <v>1044</v>
      </c>
      <c r="H252" s="76" t="s">
        <v>891</v>
      </c>
      <c r="I252" s="76" t="s">
        <v>892</v>
      </c>
      <c r="J252" s="76" t="s">
        <v>372</v>
      </c>
      <c r="K252" s="76" t="s">
        <v>1045</v>
      </c>
      <c r="L252" s="76" t="s">
        <v>385</v>
      </c>
      <c r="M252" s="76" t="s">
        <v>1046</v>
      </c>
      <c r="N252" s="76">
        <v>50</v>
      </c>
      <c r="O252" s="76">
        <v>49</v>
      </c>
      <c r="P252" s="78">
        <v>0.02</v>
      </c>
    </row>
    <row r="253" spans="7:16" x14ac:dyDescent="0.3">
      <c r="G253" t="s">
        <v>1047</v>
      </c>
      <c r="H253" s="76" t="s">
        <v>409</v>
      </c>
      <c r="I253" s="76" t="s">
        <v>410</v>
      </c>
      <c r="J253" s="76" t="s">
        <v>360</v>
      </c>
      <c r="K253" s="76" t="s">
        <v>1048</v>
      </c>
      <c r="L253" s="76" t="s">
        <v>396</v>
      </c>
      <c r="M253" s="76" t="s">
        <v>733</v>
      </c>
      <c r="N253" s="76">
        <v>500</v>
      </c>
      <c r="O253" s="76">
        <v>425</v>
      </c>
      <c r="P253" s="78">
        <v>0.15</v>
      </c>
    </row>
    <row r="254" spans="7:16" x14ac:dyDescent="0.3">
      <c r="G254" t="s">
        <v>1049</v>
      </c>
      <c r="H254" s="76" t="s">
        <v>547</v>
      </c>
      <c r="I254" s="76" t="s">
        <v>548</v>
      </c>
      <c r="J254" s="76" t="s">
        <v>360</v>
      </c>
      <c r="K254" s="76" t="s">
        <v>1050</v>
      </c>
      <c r="L254" s="76" t="s">
        <v>424</v>
      </c>
      <c r="M254" s="76" t="s">
        <v>1005</v>
      </c>
      <c r="N254" s="76">
        <v>500</v>
      </c>
      <c r="O254" s="76">
        <v>500</v>
      </c>
      <c r="P254" s="78">
        <v>0</v>
      </c>
    </row>
    <row r="255" spans="7:16" x14ac:dyDescent="0.3">
      <c r="G255" t="s">
        <v>1051</v>
      </c>
      <c r="H255" s="76" t="s">
        <v>376</v>
      </c>
      <c r="I255" s="76" t="s">
        <v>377</v>
      </c>
      <c r="J255" s="76" t="s">
        <v>360</v>
      </c>
      <c r="K255" s="76" t="s">
        <v>1052</v>
      </c>
      <c r="L255" s="76" t="s">
        <v>405</v>
      </c>
      <c r="M255" s="76" t="s">
        <v>1053</v>
      </c>
      <c r="N255" s="76">
        <v>800</v>
      </c>
      <c r="O255" s="76">
        <v>680</v>
      </c>
      <c r="P255" s="78">
        <v>0.15</v>
      </c>
    </row>
    <row r="256" spans="7:16" x14ac:dyDescent="0.3">
      <c r="G256" t="s">
        <v>1054</v>
      </c>
      <c r="H256" s="76" t="s">
        <v>434</v>
      </c>
      <c r="I256" s="76" t="s">
        <v>435</v>
      </c>
      <c r="J256" s="76" t="s">
        <v>360</v>
      </c>
      <c r="K256" s="77">
        <v>43081</v>
      </c>
      <c r="L256" s="76" t="s">
        <v>379</v>
      </c>
      <c r="M256" s="76" t="s">
        <v>1055</v>
      </c>
      <c r="N256" s="76">
        <v>150</v>
      </c>
      <c r="O256" s="76">
        <v>144</v>
      </c>
      <c r="P256" s="78">
        <v>0.04</v>
      </c>
    </row>
    <row r="257" spans="7:16" x14ac:dyDescent="0.3">
      <c r="G257" t="s">
        <v>1056</v>
      </c>
      <c r="H257" s="76" t="s">
        <v>656</v>
      </c>
      <c r="I257" s="76" t="s">
        <v>657</v>
      </c>
      <c r="J257" s="76" t="s">
        <v>360</v>
      </c>
      <c r="K257" s="77">
        <v>42523</v>
      </c>
      <c r="L257" s="76" t="s">
        <v>411</v>
      </c>
      <c r="M257" s="76" t="s">
        <v>813</v>
      </c>
      <c r="N257" s="76">
        <v>1000</v>
      </c>
      <c r="O257" s="76">
        <v>680</v>
      </c>
      <c r="P257" s="78">
        <v>0.32</v>
      </c>
    </row>
    <row r="258" spans="7:16" x14ac:dyDescent="0.3">
      <c r="G258" t="s">
        <v>1057</v>
      </c>
      <c r="H258" s="76" t="s">
        <v>370</v>
      </c>
      <c r="I258" s="76" t="s">
        <v>371</v>
      </c>
      <c r="J258" s="76" t="s">
        <v>372</v>
      </c>
      <c r="K258" s="76" t="s">
        <v>1058</v>
      </c>
      <c r="L258" s="76" t="s">
        <v>379</v>
      </c>
      <c r="M258" s="76" t="s">
        <v>731</v>
      </c>
      <c r="N258" s="76">
        <v>150</v>
      </c>
      <c r="O258" s="76">
        <v>140</v>
      </c>
      <c r="P258" s="78">
        <v>6.6699999999999995E-2</v>
      </c>
    </row>
    <row r="259" spans="7:16" x14ac:dyDescent="0.3">
      <c r="G259" t="s">
        <v>1059</v>
      </c>
      <c r="H259" s="76" t="s">
        <v>469</v>
      </c>
      <c r="I259" s="76" t="s">
        <v>435</v>
      </c>
      <c r="J259" s="76" t="s">
        <v>360</v>
      </c>
      <c r="K259" s="76" t="s">
        <v>1060</v>
      </c>
      <c r="L259" s="76" t="s">
        <v>391</v>
      </c>
      <c r="M259" s="76" t="s">
        <v>1061</v>
      </c>
      <c r="N259" s="76">
        <v>30</v>
      </c>
      <c r="O259" s="76">
        <v>28</v>
      </c>
      <c r="P259" s="78">
        <v>6.6699999999999995E-2</v>
      </c>
    </row>
    <row r="260" spans="7:16" x14ac:dyDescent="0.3">
      <c r="G260" t="s">
        <v>1062</v>
      </c>
      <c r="H260" s="76" t="s">
        <v>591</v>
      </c>
      <c r="I260" s="76" t="s">
        <v>592</v>
      </c>
      <c r="J260" s="76" t="s">
        <v>372</v>
      </c>
      <c r="K260" s="76" t="s">
        <v>1063</v>
      </c>
      <c r="L260" s="76" t="s">
        <v>405</v>
      </c>
      <c r="M260" s="76" t="s">
        <v>593</v>
      </c>
      <c r="N260" s="76">
        <v>800</v>
      </c>
      <c r="O260" s="76">
        <v>544</v>
      </c>
      <c r="P260" s="78">
        <v>0.32</v>
      </c>
    </row>
    <row r="261" spans="7:16" x14ac:dyDescent="0.3">
      <c r="G261" t="s">
        <v>1064</v>
      </c>
      <c r="H261" s="76" t="s">
        <v>364</v>
      </c>
      <c r="I261" s="76" t="s">
        <v>365</v>
      </c>
      <c r="J261" s="76" t="s">
        <v>366</v>
      </c>
      <c r="K261" s="76" t="s">
        <v>1065</v>
      </c>
      <c r="L261" s="76" t="s">
        <v>385</v>
      </c>
      <c r="M261" s="76" t="s">
        <v>442</v>
      </c>
      <c r="N261" s="76">
        <v>50</v>
      </c>
      <c r="O261" s="76">
        <v>47</v>
      </c>
      <c r="P261" s="78">
        <v>0.06</v>
      </c>
    </row>
    <row r="262" spans="7:16" x14ac:dyDescent="0.3">
      <c r="G262" t="s">
        <v>1066</v>
      </c>
      <c r="H262" s="76" t="s">
        <v>469</v>
      </c>
      <c r="I262" s="76" t="s">
        <v>435</v>
      </c>
      <c r="J262" s="76" t="s">
        <v>360</v>
      </c>
      <c r="K262" s="76" t="s">
        <v>1067</v>
      </c>
      <c r="L262" s="76" t="s">
        <v>361</v>
      </c>
      <c r="M262" s="76" t="s">
        <v>1068</v>
      </c>
      <c r="N262" s="76">
        <v>80</v>
      </c>
      <c r="O262" s="76">
        <v>60</v>
      </c>
      <c r="P262" s="78">
        <v>0.25</v>
      </c>
    </row>
    <row r="263" spans="7:16" x14ac:dyDescent="0.3">
      <c r="G263" t="s">
        <v>1069</v>
      </c>
      <c r="H263" s="76" t="s">
        <v>675</v>
      </c>
      <c r="I263" s="76" t="s">
        <v>676</v>
      </c>
      <c r="J263" s="76" t="s">
        <v>384</v>
      </c>
      <c r="K263" s="76" t="s">
        <v>1070</v>
      </c>
      <c r="L263" s="76" t="s">
        <v>391</v>
      </c>
      <c r="M263" s="76" t="s">
        <v>1071</v>
      </c>
      <c r="N263" s="76">
        <v>30</v>
      </c>
      <c r="O263" s="76">
        <v>26</v>
      </c>
      <c r="P263" s="78">
        <v>0.1333</v>
      </c>
    </row>
    <row r="264" spans="7:16" x14ac:dyDescent="0.3">
      <c r="G264" t="s">
        <v>1072</v>
      </c>
      <c r="H264" s="76" t="s">
        <v>494</v>
      </c>
      <c r="I264" s="76" t="s">
        <v>465</v>
      </c>
      <c r="J264" s="76" t="s">
        <v>366</v>
      </c>
      <c r="K264" s="76" t="s">
        <v>1073</v>
      </c>
      <c r="L264" s="76" t="s">
        <v>424</v>
      </c>
      <c r="M264" s="76" t="s">
        <v>1027</v>
      </c>
      <c r="N264" s="76">
        <v>500</v>
      </c>
      <c r="O264" s="76">
        <v>495</v>
      </c>
      <c r="P264" s="78">
        <v>0.01</v>
      </c>
    </row>
    <row r="265" spans="7:16" x14ac:dyDescent="0.3">
      <c r="G265" t="s">
        <v>1074</v>
      </c>
      <c r="H265" s="76" t="s">
        <v>485</v>
      </c>
      <c r="I265" s="76" t="s">
        <v>389</v>
      </c>
      <c r="J265" s="76" t="s">
        <v>384</v>
      </c>
      <c r="K265" s="77">
        <v>41887</v>
      </c>
      <c r="L265" s="76" t="s">
        <v>411</v>
      </c>
      <c r="M265" s="76" t="s">
        <v>1075</v>
      </c>
      <c r="N265" s="76">
        <v>1000</v>
      </c>
      <c r="O265" s="76">
        <v>620</v>
      </c>
      <c r="P265" s="78">
        <v>0.38</v>
      </c>
    </row>
    <row r="266" spans="7:16" x14ac:dyDescent="0.3">
      <c r="G266" t="s">
        <v>1076</v>
      </c>
      <c r="H266" s="76" t="s">
        <v>528</v>
      </c>
      <c r="I266" s="76" t="s">
        <v>465</v>
      </c>
      <c r="J266" s="76" t="s">
        <v>366</v>
      </c>
      <c r="K266" s="76" t="s">
        <v>640</v>
      </c>
      <c r="L266" s="76" t="s">
        <v>424</v>
      </c>
      <c r="M266" s="76" t="s">
        <v>1077</v>
      </c>
      <c r="N266" s="76">
        <v>500</v>
      </c>
      <c r="O266" s="76">
        <v>490</v>
      </c>
      <c r="P266" s="78">
        <v>0.02</v>
      </c>
    </row>
    <row r="267" spans="7:16" x14ac:dyDescent="0.3">
      <c r="G267" t="s">
        <v>1078</v>
      </c>
      <c r="H267" s="76" t="s">
        <v>438</v>
      </c>
      <c r="I267" s="76" t="s">
        <v>439</v>
      </c>
      <c r="J267" s="76" t="s">
        <v>360</v>
      </c>
      <c r="K267" s="77">
        <v>41951</v>
      </c>
      <c r="L267" s="76" t="s">
        <v>391</v>
      </c>
      <c r="M267" s="76" t="s">
        <v>1079</v>
      </c>
      <c r="N267" s="76">
        <v>30</v>
      </c>
      <c r="O267" s="76">
        <v>21</v>
      </c>
      <c r="P267" s="78">
        <v>0.3</v>
      </c>
    </row>
    <row r="268" spans="7:16" x14ac:dyDescent="0.3">
      <c r="G268" t="s">
        <v>1080</v>
      </c>
      <c r="H268" s="76" t="s">
        <v>485</v>
      </c>
      <c r="I268" s="76" t="s">
        <v>389</v>
      </c>
      <c r="J268" s="76" t="s">
        <v>384</v>
      </c>
      <c r="K268" s="76" t="s">
        <v>1081</v>
      </c>
      <c r="L268" s="76" t="s">
        <v>391</v>
      </c>
      <c r="M268" s="76" t="s">
        <v>1082</v>
      </c>
      <c r="N268" s="76">
        <v>30</v>
      </c>
      <c r="O268" s="76">
        <v>20</v>
      </c>
      <c r="P268" s="78">
        <v>0.33329999999999999</v>
      </c>
    </row>
    <row r="269" spans="7:16" x14ac:dyDescent="0.3">
      <c r="G269" t="s">
        <v>1083</v>
      </c>
      <c r="H269" s="76" t="s">
        <v>611</v>
      </c>
      <c r="I269" s="76" t="s">
        <v>389</v>
      </c>
      <c r="J269" s="76" t="s">
        <v>384</v>
      </c>
      <c r="K269" s="76" t="s">
        <v>1084</v>
      </c>
      <c r="L269" s="76" t="s">
        <v>411</v>
      </c>
      <c r="M269" s="76" t="s">
        <v>643</v>
      </c>
      <c r="N269" s="76">
        <v>1000</v>
      </c>
      <c r="O269" s="76">
        <v>910</v>
      </c>
      <c r="P269" s="78">
        <v>0.09</v>
      </c>
    </row>
    <row r="270" spans="7:16" x14ac:dyDescent="0.3">
      <c r="G270" t="s">
        <v>1085</v>
      </c>
      <c r="H270" s="76" t="s">
        <v>414</v>
      </c>
      <c r="I270" s="76" t="s">
        <v>415</v>
      </c>
      <c r="J270" s="76" t="s">
        <v>384</v>
      </c>
      <c r="K270" s="76" t="s">
        <v>989</v>
      </c>
      <c r="L270" s="76" t="s">
        <v>461</v>
      </c>
      <c r="M270" s="76" t="s">
        <v>1018</v>
      </c>
      <c r="N270" s="76">
        <v>70</v>
      </c>
      <c r="O270" s="76">
        <v>68</v>
      </c>
      <c r="P270" s="78">
        <v>2.86E-2</v>
      </c>
    </row>
    <row r="271" spans="7:16" x14ac:dyDescent="0.3">
      <c r="G271" t="s">
        <v>1086</v>
      </c>
      <c r="H271" s="76" t="s">
        <v>591</v>
      </c>
      <c r="I271" s="76" t="s">
        <v>592</v>
      </c>
      <c r="J271" s="76" t="s">
        <v>372</v>
      </c>
      <c r="K271" s="76" t="s">
        <v>1087</v>
      </c>
      <c r="L271" s="76" t="s">
        <v>373</v>
      </c>
      <c r="M271" s="76" t="s">
        <v>1088</v>
      </c>
      <c r="N271" s="76">
        <v>700</v>
      </c>
      <c r="O271" s="76">
        <v>623</v>
      </c>
      <c r="P271" s="78">
        <v>0.11</v>
      </c>
    </row>
    <row r="272" spans="7:16" x14ac:dyDescent="0.3">
      <c r="G272" t="s">
        <v>1089</v>
      </c>
      <c r="H272" s="76" t="s">
        <v>438</v>
      </c>
      <c r="I272" s="76" t="s">
        <v>439</v>
      </c>
      <c r="J272" s="76" t="s">
        <v>360</v>
      </c>
      <c r="K272" s="76" t="s">
        <v>1090</v>
      </c>
      <c r="L272" s="76" t="s">
        <v>424</v>
      </c>
      <c r="M272" s="76" t="s">
        <v>1091</v>
      </c>
      <c r="N272" s="76">
        <v>500</v>
      </c>
      <c r="O272" s="76">
        <v>490</v>
      </c>
      <c r="P272" s="78">
        <v>0.02</v>
      </c>
    </row>
    <row r="273" spans="7:16" x14ac:dyDescent="0.3">
      <c r="G273" t="s">
        <v>1092</v>
      </c>
      <c r="H273" s="76" t="s">
        <v>478</v>
      </c>
      <c r="I273" s="76" t="s">
        <v>479</v>
      </c>
      <c r="J273" s="76" t="s">
        <v>384</v>
      </c>
      <c r="K273" s="77">
        <v>42471</v>
      </c>
      <c r="L273" s="76" t="s">
        <v>385</v>
      </c>
      <c r="M273" s="76" t="s">
        <v>1093</v>
      </c>
      <c r="N273" s="76">
        <v>50</v>
      </c>
      <c r="O273" s="76">
        <v>50</v>
      </c>
      <c r="P273" s="78">
        <v>0</v>
      </c>
    </row>
    <row r="274" spans="7:16" x14ac:dyDescent="0.3">
      <c r="G274" t="s">
        <v>1094</v>
      </c>
      <c r="H274" s="76" t="s">
        <v>891</v>
      </c>
      <c r="I274" s="76" t="s">
        <v>892</v>
      </c>
      <c r="J274" s="76" t="s">
        <v>372</v>
      </c>
      <c r="K274" s="76" t="s">
        <v>1095</v>
      </c>
      <c r="L274" s="76" t="s">
        <v>411</v>
      </c>
      <c r="M274" s="76" t="s">
        <v>1096</v>
      </c>
      <c r="N274" s="76">
        <v>1000</v>
      </c>
      <c r="O274" s="76">
        <v>790</v>
      </c>
      <c r="P274" s="78">
        <v>0.21</v>
      </c>
    </row>
    <row r="275" spans="7:16" x14ac:dyDescent="0.3">
      <c r="G275" t="s">
        <v>1097</v>
      </c>
      <c r="H275" s="76" t="s">
        <v>382</v>
      </c>
      <c r="I275" s="76" t="s">
        <v>383</v>
      </c>
      <c r="J275" s="76" t="s">
        <v>384</v>
      </c>
      <c r="K275" s="76" t="s">
        <v>1098</v>
      </c>
      <c r="L275" s="76" t="s">
        <v>379</v>
      </c>
      <c r="M275" s="76" t="s">
        <v>386</v>
      </c>
      <c r="N275" s="76">
        <v>150</v>
      </c>
      <c r="O275" s="76">
        <v>144</v>
      </c>
      <c r="P275" s="78">
        <v>0.04</v>
      </c>
    </row>
    <row r="276" spans="7:16" x14ac:dyDescent="0.3">
      <c r="G276" t="s">
        <v>1099</v>
      </c>
      <c r="H276" s="76" t="s">
        <v>747</v>
      </c>
      <c r="I276" s="76" t="s">
        <v>748</v>
      </c>
      <c r="J276" s="76" t="s">
        <v>360</v>
      </c>
      <c r="K276" s="76" t="s">
        <v>1001</v>
      </c>
      <c r="L276" s="76" t="s">
        <v>411</v>
      </c>
      <c r="M276" s="76" t="s">
        <v>1100</v>
      </c>
      <c r="N276" s="76">
        <v>1000</v>
      </c>
      <c r="O276" s="76">
        <v>960</v>
      </c>
      <c r="P276" s="78">
        <v>0.04</v>
      </c>
    </row>
    <row r="277" spans="7:16" x14ac:dyDescent="0.3">
      <c r="G277" t="s">
        <v>1101</v>
      </c>
      <c r="H277" s="76" t="s">
        <v>656</v>
      </c>
      <c r="I277" s="76" t="s">
        <v>657</v>
      </c>
      <c r="J277" s="76" t="s">
        <v>360</v>
      </c>
      <c r="K277" s="76" t="s">
        <v>1102</v>
      </c>
      <c r="L277" s="76" t="s">
        <v>396</v>
      </c>
      <c r="M277" s="76" t="s">
        <v>1103</v>
      </c>
      <c r="N277" s="76">
        <v>500</v>
      </c>
      <c r="O277" s="76">
        <v>445</v>
      </c>
      <c r="P277" s="78">
        <v>0.11</v>
      </c>
    </row>
    <row r="278" spans="7:16" x14ac:dyDescent="0.3">
      <c r="G278" t="s">
        <v>1104</v>
      </c>
      <c r="H278" s="76" t="s">
        <v>459</v>
      </c>
      <c r="I278" s="76" t="s">
        <v>422</v>
      </c>
      <c r="J278" s="76" t="s">
        <v>384</v>
      </c>
      <c r="K278" s="76" t="s">
        <v>1105</v>
      </c>
      <c r="L278" s="76" t="s">
        <v>396</v>
      </c>
      <c r="M278" s="76" t="s">
        <v>1106</v>
      </c>
      <c r="N278" s="76">
        <v>500</v>
      </c>
      <c r="O278" s="76">
        <v>435</v>
      </c>
      <c r="P278" s="78">
        <v>0.13</v>
      </c>
    </row>
    <row r="279" spans="7:16" x14ac:dyDescent="0.3">
      <c r="G279" t="s">
        <v>1107</v>
      </c>
      <c r="H279" s="76" t="s">
        <v>454</v>
      </c>
      <c r="I279" s="76" t="s">
        <v>455</v>
      </c>
      <c r="J279" s="76" t="s">
        <v>360</v>
      </c>
      <c r="K279" s="76" t="s">
        <v>1108</v>
      </c>
      <c r="L279" s="76" t="s">
        <v>424</v>
      </c>
      <c r="M279" s="76" t="s">
        <v>1109</v>
      </c>
      <c r="N279" s="76">
        <v>500</v>
      </c>
      <c r="O279" s="76">
        <v>490</v>
      </c>
      <c r="P279" s="78">
        <v>0.02</v>
      </c>
    </row>
    <row r="280" spans="7:16" x14ac:dyDescent="0.3">
      <c r="G280" t="s">
        <v>1110</v>
      </c>
      <c r="H280" s="76" t="s">
        <v>591</v>
      </c>
      <c r="I280" s="76" t="s">
        <v>592</v>
      </c>
      <c r="J280" s="76" t="s">
        <v>372</v>
      </c>
      <c r="K280" s="76" t="s">
        <v>1111</v>
      </c>
      <c r="L280" s="76" t="s">
        <v>475</v>
      </c>
      <c r="M280" s="76" t="s">
        <v>1112</v>
      </c>
      <c r="N280" s="76">
        <v>250</v>
      </c>
      <c r="O280" s="76">
        <v>230</v>
      </c>
      <c r="P280" s="78">
        <v>0.08</v>
      </c>
    </row>
    <row r="281" spans="7:16" x14ac:dyDescent="0.3">
      <c r="G281" t="s">
        <v>1113</v>
      </c>
      <c r="H281" s="76" t="s">
        <v>891</v>
      </c>
      <c r="I281" s="76" t="s">
        <v>892</v>
      </c>
      <c r="J281" s="76" t="s">
        <v>372</v>
      </c>
      <c r="K281" s="77">
        <v>42350</v>
      </c>
      <c r="L281" s="76" t="s">
        <v>405</v>
      </c>
      <c r="M281" s="76" t="s">
        <v>893</v>
      </c>
      <c r="N281" s="76">
        <v>800</v>
      </c>
      <c r="O281" s="76">
        <v>472</v>
      </c>
      <c r="P281" s="78">
        <v>0.41</v>
      </c>
    </row>
    <row r="282" spans="7:16" x14ac:dyDescent="0.3">
      <c r="G282" t="s">
        <v>1114</v>
      </c>
      <c r="H282" s="76" t="s">
        <v>668</v>
      </c>
      <c r="I282" s="76" t="s">
        <v>669</v>
      </c>
      <c r="J282" s="76" t="s">
        <v>360</v>
      </c>
      <c r="K282" s="77">
        <v>42676</v>
      </c>
      <c r="L282" s="76" t="s">
        <v>411</v>
      </c>
      <c r="M282" s="76" t="s">
        <v>1115</v>
      </c>
      <c r="N282" s="76">
        <v>1000</v>
      </c>
      <c r="O282" s="76">
        <v>510</v>
      </c>
      <c r="P282" s="78">
        <v>0.49</v>
      </c>
    </row>
    <row r="283" spans="7:16" x14ac:dyDescent="0.3">
      <c r="G283" t="s">
        <v>1116</v>
      </c>
      <c r="H283" s="76" t="s">
        <v>409</v>
      </c>
      <c r="I283" s="76" t="s">
        <v>410</v>
      </c>
      <c r="J283" s="76" t="s">
        <v>360</v>
      </c>
      <c r="K283" s="76" t="s">
        <v>1117</v>
      </c>
      <c r="L283" s="76" t="s">
        <v>475</v>
      </c>
      <c r="M283" s="76" t="s">
        <v>412</v>
      </c>
      <c r="N283" s="76">
        <v>250</v>
      </c>
      <c r="O283" s="76">
        <v>230</v>
      </c>
      <c r="P283" s="78">
        <v>0.08</v>
      </c>
    </row>
    <row r="284" spans="7:16" x14ac:dyDescent="0.3">
      <c r="G284" t="s">
        <v>1118</v>
      </c>
      <c r="H284" s="76" t="s">
        <v>668</v>
      </c>
      <c r="I284" s="76" t="s">
        <v>669</v>
      </c>
      <c r="J284" s="76" t="s">
        <v>360</v>
      </c>
      <c r="K284" s="77">
        <v>43104</v>
      </c>
      <c r="L284" s="76" t="s">
        <v>483</v>
      </c>
      <c r="M284" s="76" t="s">
        <v>671</v>
      </c>
      <c r="N284" s="76">
        <v>50</v>
      </c>
      <c r="O284" s="76">
        <v>48</v>
      </c>
      <c r="P284" s="78">
        <v>0.04</v>
      </c>
    </row>
    <row r="285" spans="7:16" x14ac:dyDescent="0.3">
      <c r="G285" t="s">
        <v>1119</v>
      </c>
      <c r="H285" s="76" t="s">
        <v>459</v>
      </c>
      <c r="I285" s="76" t="s">
        <v>422</v>
      </c>
      <c r="J285" s="76" t="s">
        <v>384</v>
      </c>
      <c r="K285" s="77">
        <v>42038</v>
      </c>
      <c r="L285" s="76" t="s">
        <v>361</v>
      </c>
      <c r="M285" s="76" t="s">
        <v>1120</v>
      </c>
      <c r="N285" s="76">
        <v>80</v>
      </c>
      <c r="O285" s="76">
        <v>49</v>
      </c>
      <c r="P285" s="78">
        <v>0.38750000000000001</v>
      </c>
    </row>
    <row r="286" spans="7:16" x14ac:dyDescent="0.3">
      <c r="G286" t="s">
        <v>1121</v>
      </c>
      <c r="H286" s="76" t="s">
        <v>668</v>
      </c>
      <c r="I286" s="76" t="s">
        <v>669</v>
      </c>
      <c r="J286" s="76" t="s">
        <v>360</v>
      </c>
      <c r="K286" s="76" t="s">
        <v>720</v>
      </c>
      <c r="L286" s="76" t="s">
        <v>424</v>
      </c>
      <c r="M286" s="76" t="s">
        <v>736</v>
      </c>
      <c r="N286" s="76">
        <v>500</v>
      </c>
      <c r="O286" s="76">
        <v>490</v>
      </c>
      <c r="P286" s="78">
        <v>0.02</v>
      </c>
    </row>
    <row r="287" spans="7:16" x14ac:dyDescent="0.3">
      <c r="G287" t="s">
        <v>1122</v>
      </c>
      <c r="H287" s="76" t="s">
        <v>619</v>
      </c>
      <c r="I287" s="76" t="s">
        <v>620</v>
      </c>
      <c r="J287" s="76" t="s">
        <v>372</v>
      </c>
      <c r="K287" s="77">
        <v>43223</v>
      </c>
      <c r="L287" s="76" t="s">
        <v>475</v>
      </c>
      <c r="M287" s="76" t="s">
        <v>621</v>
      </c>
      <c r="N287" s="76">
        <v>250</v>
      </c>
      <c r="O287" s="76">
        <v>248</v>
      </c>
      <c r="P287" s="78">
        <v>8.0000000000000002E-3</v>
      </c>
    </row>
    <row r="288" spans="7:16" x14ac:dyDescent="0.3">
      <c r="G288" t="s">
        <v>1123</v>
      </c>
      <c r="H288" s="76" t="s">
        <v>551</v>
      </c>
      <c r="I288" s="76" t="s">
        <v>552</v>
      </c>
      <c r="J288" s="76" t="s">
        <v>360</v>
      </c>
      <c r="K288" s="76" t="s">
        <v>1124</v>
      </c>
      <c r="L288" s="76" t="s">
        <v>411</v>
      </c>
      <c r="M288" s="76" t="s">
        <v>1125</v>
      </c>
      <c r="N288" s="76">
        <v>1000</v>
      </c>
      <c r="O288" s="76">
        <v>900</v>
      </c>
      <c r="P288" s="78">
        <v>0.1</v>
      </c>
    </row>
    <row r="289" spans="7:16" x14ac:dyDescent="0.3">
      <c r="G289" t="s">
        <v>1126</v>
      </c>
      <c r="H289" s="76" t="s">
        <v>409</v>
      </c>
      <c r="I289" s="76" t="s">
        <v>410</v>
      </c>
      <c r="J289" s="76" t="s">
        <v>360</v>
      </c>
      <c r="K289" s="77">
        <v>43374</v>
      </c>
      <c r="L289" s="76" t="s">
        <v>483</v>
      </c>
      <c r="M289" s="76" t="s">
        <v>412</v>
      </c>
      <c r="N289" s="76">
        <v>50</v>
      </c>
      <c r="O289" s="76">
        <v>45</v>
      </c>
      <c r="P289" s="78">
        <v>0.1</v>
      </c>
    </row>
    <row r="290" spans="7:16" x14ac:dyDescent="0.3">
      <c r="G290" t="s">
        <v>1127</v>
      </c>
      <c r="H290" s="76" t="s">
        <v>469</v>
      </c>
      <c r="I290" s="76" t="s">
        <v>435</v>
      </c>
      <c r="J290" s="76" t="s">
        <v>360</v>
      </c>
      <c r="K290" s="77">
        <v>42888</v>
      </c>
      <c r="L290" s="76" t="s">
        <v>379</v>
      </c>
      <c r="M290" s="76" t="s">
        <v>1128</v>
      </c>
      <c r="N290" s="76">
        <v>150</v>
      </c>
      <c r="O290" s="76">
        <v>144</v>
      </c>
      <c r="P290" s="78">
        <v>0.04</v>
      </c>
    </row>
    <row r="291" spans="7:16" x14ac:dyDescent="0.3">
      <c r="G291" t="s">
        <v>1129</v>
      </c>
      <c r="H291" s="76" t="s">
        <v>497</v>
      </c>
      <c r="I291" s="76" t="s">
        <v>445</v>
      </c>
      <c r="J291" s="76" t="s">
        <v>384</v>
      </c>
      <c r="K291" s="77">
        <v>43405</v>
      </c>
      <c r="L291" s="76" t="s">
        <v>424</v>
      </c>
      <c r="M291" s="76" t="s">
        <v>499</v>
      </c>
      <c r="N291" s="76">
        <v>500</v>
      </c>
      <c r="O291" s="76">
        <v>495</v>
      </c>
      <c r="P291" s="78">
        <v>0.01</v>
      </c>
    </row>
    <row r="292" spans="7:16" x14ac:dyDescent="0.3">
      <c r="G292" t="s">
        <v>1130</v>
      </c>
      <c r="H292" s="76" t="s">
        <v>449</v>
      </c>
      <c r="I292" s="76" t="s">
        <v>450</v>
      </c>
      <c r="J292" s="76" t="s">
        <v>360</v>
      </c>
      <c r="K292" s="76" t="s">
        <v>1131</v>
      </c>
      <c r="L292" s="76" t="s">
        <v>396</v>
      </c>
      <c r="M292" s="76" t="s">
        <v>606</v>
      </c>
      <c r="N292" s="76">
        <v>500</v>
      </c>
      <c r="O292" s="76">
        <v>425</v>
      </c>
      <c r="P292" s="78">
        <v>0.15</v>
      </c>
    </row>
    <row r="293" spans="7:16" x14ac:dyDescent="0.3">
      <c r="G293" t="s">
        <v>1132</v>
      </c>
      <c r="H293" s="76" t="s">
        <v>409</v>
      </c>
      <c r="I293" s="76" t="s">
        <v>410</v>
      </c>
      <c r="J293" s="76" t="s">
        <v>360</v>
      </c>
      <c r="K293" s="76" t="s">
        <v>1133</v>
      </c>
      <c r="L293" s="76" t="s">
        <v>461</v>
      </c>
      <c r="M293" s="76" t="s">
        <v>1134</v>
      </c>
      <c r="N293" s="76">
        <v>70</v>
      </c>
      <c r="O293" s="76">
        <v>60</v>
      </c>
      <c r="P293" s="78">
        <v>0.1429</v>
      </c>
    </row>
    <row r="294" spans="7:16" x14ac:dyDescent="0.3">
      <c r="G294" t="s">
        <v>1135</v>
      </c>
      <c r="H294" s="76" t="s">
        <v>364</v>
      </c>
      <c r="I294" s="76" t="s">
        <v>365</v>
      </c>
      <c r="J294" s="76" t="s">
        <v>366</v>
      </c>
      <c r="K294" s="76" t="s">
        <v>1136</v>
      </c>
      <c r="L294" s="76" t="s">
        <v>405</v>
      </c>
      <c r="M294" s="76" t="s">
        <v>1137</v>
      </c>
      <c r="N294" s="76">
        <v>800</v>
      </c>
      <c r="O294" s="76">
        <v>624</v>
      </c>
      <c r="P294" s="78">
        <v>0.22</v>
      </c>
    </row>
    <row r="295" spans="7:16" x14ac:dyDescent="0.3">
      <c r="G295" t="s">
        <v>1138</v>
      </c>
      <c r="H295" s="76" t="s">
        <v>845</v>
      </c>
      <c r="I295" s="76" t="s">
        <v>846</v>
      </c>
      <c r="J295" s="76" t="s">
        <v>360</v>
      </c>
      <c r="K295" s="77">
        <v>43108</v>
      </c>
      <c r="L295" s="76" t="s">
        <v>385</v>
      </c>
      <c r="M295" s="76" t="s">
        <v>1139</v>
      </c>
      <c r="N295" s="76">
        <v>50</v>
      </c>
      <c r="O295" s="76">
        <v>47</v>
      </c>
      <c r="P295" s="78">
        <v>0.06</v>
      </c>
    </row>
    <row r="296" spans="7:16" x14ac:dyDescent="0.3">
      <c r="G296" t="s">
        <v>1140</v>
      </c>
      <c r="H296" s="76" t="s">
        <v>459</v>
      </c>
      <c r="I296" s="76" t="s">
        <v>422</v>
      </c>
      <c r="J296" s="76" t="s">
        <v>384</v>
      </c>
      <c r="K296" s="77">
        <v>42897</v>
      </c>
      <c r="L296" s="76" t="s">
        <v>391</v>
      </c>
      <c r="M296" s="76" t="s">
        <v>572</v>
      </c>
      <c r="N296" s="76">
        <v>30</v>
      </c>
      <c r="O296" s="76">
        <v>29</v>
      </c>
      <c r="P296" s="78">
        <v>3.3300000000000003E-2</v>
      </c>
    </row>
    <row r="297" spans="7:16" x14ac:dyDescent="0.3">
      <c r="G297" t="s">
        <v>1141</v>
      </c>
      <c r="H297" s="76" t="s">
        <v>619</v>
      </c>
      <c r="I297" s="76" t="s">
        <v>620</v>
      </c>
      <c r="J297" s="76" t="s">
        <v>372</v>
      </c>
      <c r="K297" s="77">
        <v>42686</v>
      </c>
      <c r="L297" s="76" t="s">
        <v>483</v>
      </c>
      <c r="M297" s="76" t="s">
        <v>1142</v>
      </c>
      <c r="N297" s="76">
        <v>50</v>
      </c>
      <c r="O297" s="76">
        <v>50</v>
      </c>
      <c r="P297" s="78">
        <v>0</v>
      </c>
    </row>
    <row r="298" spans="7:16" x14ac:dyDescent="0.3">
      <c r="G298" t="s">
        <v>1143</v>
      </c>
      <c r="H298" s="76" t="s">
        <v>566</v>
      </c>
      <c r="I298" s="76" t="s">
        <v>567</v>
      </c>
      <c r="J298" s="76" t="s">
        <v>360</v>
      </c>
      <c r="K298" s="76" t="s">
        <v>1144</v>
      </c>
      <c r="L298" s="76" t="s">
        <v>361</v>
      </c>
      <c r="M298" s="76" t="s">
        <v>867</v>
      </c>
      <c r="N298" s="76">
        <v>80</v>
      </c>
      <c r="O298" s="76">
        <v>72</v>
      </c>
      <c r="P298" s="78">
        <v>0.1</v>
      </c>
    </row>
    <row r="299" spans="7:16" x14ac:dyDescent="0.3">
      <c r="G299" t="s">
        <v>1145</v>
      </c>
      <c r="H299" s="76" t="s">
        <v>370</v>
      </c>
      <c r="I299" s="76" t="s">
        <v>371</v>
      </c>
      <c r="J299" s="76" t="s">
        <v>372</v>
      </c>
      <c r="K299" s="77">
        <v>42006</v>
      </c>
      <c r="L299" s="76" t="s">
        <v>411</v>
      </c>
      <c r="M299" s="76" t="s">
        <v>1146</v>
      </c>
      <c r="N299" s="76">
        <v>1000</v>
      </c>
      <c r="O299" s="76">
        <v>580</v>
      </c>
      <c r="P299" s="78">
        <v>0.42</v>
      </c>
    </row>
    <row r="300" spans="7:16" x14ac:dyDescent="0.3">
      <c r="G300" t="s">
        <v>1147</v>
      </c>
      <c r="H300" s="76" t="s">
        <v>638</v>
      </c>
      <c r="I300" s="76" t="s">
        <v>639</v>
      </c>
      <c r="J300" s="76" t="s">
        <v>360</v>
      </c>
      <c r="K300" s="77">
        <v>42709</v>
      </c>
      <c r="L300" s="76" t="s">
        <v>405</v>
      </c>
      <c r="M300" s="76" t="s">
        <v>1148</v>
      </c>
      <c r="N300" s="76">
        <v>800</v>
      </c>
      <c r="O300" s="76">
        <v>552</v>
      </c>
      <c r="P300" s="78">
        <v>0.31</v>
      </c>
    </row>
    <row r="301" spans="7:16" x14ac:dyDescent="0.3">
      <c r="G301" t="s">
        <v>1149</v>
      </c>
      <c r="H301" s="76" t="s">
        <v>438</v>
      </c>
      <c r="I301" s="76" t="s">
        <v>439</v>
      </c>
      <c r="J301" s="76" t="s">
        <v>360</v>
      </c>
      <c r="K301" s="77">
        <v>42343</v>
      </c>
      <c r="L301" s="76" t="s">
        <v>461</v>
      </c>
      <c r="M301" s="76" t="s">
        <v>1150</v>
      </c>
      <c r="N301" s="76">
        <v>70</v>
      </c>
      <c r="O301" s="76">
        <v>67</v>
      </c>
      <c r="P301" s="78">
        <v>4.2900000000000001E-2</v>
      </c>
    </row>
    <row r="302" spans="7:16" x14ac:dyDescent="0.3">
      <c r="G302" t="s">
        <v>1151</v>
      </c>
      <c r="H302" s="76" t="s">
        <v>399</v>
      </c>
      <c r="I302" s="76" t="s">
        <v>400</v>
      </c>
      <c r="J302" s="76" t="s">
        <v>372</v>
      </c>
      <c r="K302" s="76" t="s">
        <v>1152</v>
      </c>
      <c r="L302" s="76" t="s">
        <v>405</v>
      </c>
      <c r="M302" s="76" t="s">
        <v>401</v>
      </c>
      <c r="N302" s="76">
        <v>800</v>
      </c>
      <c r="O302" s="76">
        <v>704</v>
      </c>
      <c r="P302" s="78">
        <v>0.12</v>
      </c>
    </row>
    <row r="303" spans="7:16" x14ac:dyDescent="0.3">
      <c r="G303" t="s">
        <v>1153</v>
      </c>
      <c r="H303" s="76" t="s">
        <v>615</v>
      </c>
      <c r="I303" s="76" t="s">
        <v>400</v>
      </c>
      <c r="J303" s="76" t="s">
        <v>372</v>
      </c>
      <c r="K303" s="76" t="s">
        <v>1154</v>
      </c>
      <c r="L303" s="76" t="s">
        <v>411</v>
      </c>
      <c r="M303" s="76" t="s">
        <v>1155</v>
      </c>
      <c r="N303" s="76">
        <v>1000</v>
      </c>
      <c r="O303" s="76">
        <v>590</v>
      </c>
      <c r="P303" s="78">
        <v>0.41</v>
      </c>
    </row>
    <row r="304" spans="7:16" x14ac:dyDescent="0.3">
      <c r="G304" t="s">
        <v>1156</v>
      </c>
      <c r="H304" s="76" t="s">
        <v>528</v>
      </c>
      <c r="I304" s="76" t="s">
        <v>465</v>
      </c>
      <c r="J304" s="76" t="s">
        <v>366</v>
      </c>
      <c r="K304" s="76" t="s">
        <v>1157</v>
      </c>
      <c r="L304" s="76" t="s">
        <v>391</v>
      </c>
      <c r="M304" s="76" t="s">
        <v>1158</v>
      </c>
      <c r="N304" s="76">
        <v>30</v>
      </c>
      <c r="O304" s="76">
        <v>28</v>
      </c>
      <c r="P304" s="78">
        <v>6.6699999999999995E-2</v>
      </c>
    </row>
    <row r="305" spans="7:16" x14ac:dyDescent="0.3">
      <c r="G305" t="s">
        <v>1159</v>
      </c>
      <c r="H305" s="76" t="s">
        <v>591</v>
      </c>
      <c r="I305" s="76" t="s">
        <v>592</v>
      </c>
      <c r="J305" s="76" t="s">
        <v>372</v>
      </c>
      <c r="K305" s="76" t="s">
        <v>1058</v>
      </c>
      <c r="L305" s="76" t="s">
        <v>405</v>
      </c>
      <c r="M305" s="76" t="s">
        <v>1160</v>
      </c>
      <c r="N305" s="76">
        <v>800</v>
      </c>
      <c r="O305" s="76">
        <v>488</v>
      </c>
      <c r="P305" s="78">
        <v>0.39</v>
      </c>
    </row>
    <row r="306" spans="7:16" x14ac:dyDescent="0.3">
      <c r="G306" t="s">
        <v>1161</v>
      </c>
      <c r="H306" s="76" t="s">
        <v>364</v>
      </c>
      <c r="I306" s="76" t="s">
        <v>365</v>
      </c>
      <c r="J306" s="76" t="s">
        <v>366</v>
      </c>
      <c r="K306" s="76" t="s">
        <v>1162</v>
      </c>
      <c r="L306" s="76" t="s">
        <v>379</v>
      </c>
      <c r="M306" s="76" t="s">
        <v>1137</v>
      </c>
      <c r="N306" s="76">
        <v>150</v>
      </c>
      <c r="O306" s="76">
        <v>134</v>
      </c>
      <c r="P306" s="78">
        <v>0.1067</v>
      </c>
    </row>
    <row r="307" spans="7:16" x14ac:dyDescent="0.3">
      <c r="G307" t="s">
        <v>1163</v>
      </c>
      <c r="H307" s="76" t="s">
        <v>429</v>
      </c>
      <c r="I307" s="76" t="s">
        <v>430</v>
      </c>
      <c r="J307" s="76" t="s">
        <v>384</v>
      </c>
      <c r="K307" s="76" t="s">
        <v>1164</v>
      </c>
      <c r="L307" s="76" t="s">
        <v>483</v>
      </c>
      <c r="M307" s="76" t="s">
        <v>838</v>
      </c>
      <c r="N307" s="76">
        <v>50</v>
      </c>
      <c r="O307" s="76">
        <v>50</v>
      </c>
      <c r="P307" s="78">
        <v>0</v>
      </c>
    </row>
    <row r="308" spans="7:16" x14ac:dyDescent="0.3">
      <c r="G308" t="s">
        <v>1165</v>
      </c>
      <c r="H308" s="76" t="s">
        <v>528</v>
      </c>
      <c r="I308" s="76" t="s">
        <v>465</v>
      </c>
      <c r="J308" s="76" t="s">
        <v>366</v>
      </c>
      <c r="K308" s="76" t="s">
        <v>1166</v>
      </c>
      <c r="L308" s="76" t="s">
        <v>411</v>
      </c>
      <c r="M308" s="76" t="s">
        <v>1158</v>
      </c>
      <c r="N308" s="76">
        <v>1000</v>
      </c>
      <c r="O308" s="76">
        <v>670</v>
      </c>
      <c r="P308" s="78">
        <v>0.33</v>
      </c>
    </row>
    <row r="309" spans="7:16" x14ac:dyDescent="0.3">
      <c r="G309" t="s">
        <v>1167</v>
      </c>
      <c r="H309" s="76" t="s">
        <v>459</v>
      </c>
      <c r="I309" s="76" t="s">
        <v>422</v>
      </c>
      <c r="J309" s="76" t="s">
        <v>384</v>
      </c>
      <c r="K309" s="76" t="s">
        <v>602</v>
      </c>
      <c r="L309" s="76" t="s">
        <v>379</v>
      </c>
      <c r="M309" s="76" t="s">
        <v>977</v>
      </c>
      <c r="N309" s="76">
        <v>150</v>
      </c>
      <c r="O309" s="76">
        <v>149</v>
      </c>
      <c r="P309" s="78">
        <v>6.7000000000000002E-3</v>
      </c>
    </row>
    <row r="310" spans="7:16" x14ac:dyDescent="0.3">
      <c r="G310" t="s">
        <v>1168</v>
      </c>
      <c r="H310" s="76" t="s">
        <v>434</v>
      </c>
      <c r="I310" s="76" t="s">
        <v>435</v>
      </c>
      <c r="J310" s="76" t="s">
        <v>360</v>
      </c>
      <c r="K310" s="76" t="s">
        <v>1169</v>
      </c>
      <c r="L310" s="76" t="s">
        <v>424</v>
      </c>
      <c r="M310" s="76" t="s">
        <v>436</v>
      </c>
      <c r="N310" s="76">
        <v>500</v>
      </c>
      <c r="O310" s="76">
        <v>500</v>
      </c>
      <c r="P310" s="78">
        <v>0</v>
      </c>
    </row>
    <row r="311" spans="7:16" x14ac:dyDescent="0.3">
      <c r="G311" t="s">
        <v>1170</v>
      </c>
      <c r="H311" s="76" t="s">
        <v>434</v>
      </c>
      <c r="I311" s="76" t="s">
        <v>435</v>
      </c>
      <c r="J311" s="76" t="s">
        <v>360</v>
      </c>
      <c r="K311" s="76" t="s">
        <v>1171</v>
      </c>
      <c r="L311" s="76" t="s">
        <v>379</v>
      </c>
      <c r="M311" s="76" t="s">
        <v>436</v>
      </c>
      <c r="N311" s="76">
        <v>150</v>
      </c>
      <c r="O311" s="76">
        <v>146</v>
      </c>
      <c r="P311" s="78">
        <v>2.6700000000000002E-2</v>
      </c>
    </row>
    <row r="312" spans="7:16" x14ac:dyDescent="0.3">
      <c r="G312" t="s">
        <v>1172</v>
      </c>
      <c r="H312" s="76" t="s">
        <v>403</v>
      </c>
      <c r="I312" s="76" t="s">
        <v>404</v>
      </c>
      <c r="J312" s="76" t="s">
        <v>360</v>
      </c>
      <c r="K312" s="77">
        <v>43263</v>
      </c>
      <c r="L312" s="76" t="s">
        <v>411</v>
      </c>
      <c r="M312" s="76" t="s">
        <v>1173</v>
      </c>
      <c r="N312" s="76">
        <v>1000</v>
      </c>
      <c r="O312" s="76">
        <v>810</v>
      </c>
      <c r="P312" s="78">
        <v>0.19</v>
      </c>
    </row>
    <row r="313" spans="7:16" x14ac:dyDescent="0.3">
      <c r="G313" t="s">
        <v>1174</v>
      </c>
      <c r="H313" s="76" t="s">
        <v>449</v>
      </c>
      <c r="I313" s="76" t="s">
        <v>450</v>
      </c>
      <c r="J313" s="76" t="s">
        <v>360</v>
      </c>
      <c r="K313" s="76" t="s">
        <v>1175</v>
      </c>
      <c r="L313" s="76" t="s">
        <v>379</v>
      </c>
      <c r="M313" s="76" t="s">
        <v>1176</v>
      </c>
      <c r="N313" s="76">
        <v>150</v>
      </c>
      <c r="O313" s="76">
        <v>147</v>
      </c>
      <c r="P313" s="78">
        <v>0.02</v>
      </c>
    </row>
    <row r="314" spans="7:16" x14ac:dyDescent="0.3">
      <c r="G314" t="s">
        <v>1177</v>
      </c>
      <c r="H314" s="76" t="s">
        <v>403</v>
      </c>
      <c r="I314" s="76" t="s">
        <v>404</v>
      </c>
      <c r="J314" s="76" t="s">
        <v>360</v>
      </c>
      <c r="K314" s="76" t="s">
        <v>503</v>
      </c>
      <c r="L314" s="76" t="s">
        <v>411</v>
      </c>
      <c r="M314" s="76" t="s">
        <v>1178</v>
      </c>
      <c r="N314" s="76">
        <v>1000</v>
      </c>
      <c r="O314" s="76">
        <v>730</v>
      </c>
      <c r="P314" s="78">
        <v>0.27</v>
      </c>
    </row>
    <row r="315" spans="7:16" x14ac:dyDescent="0.3">
      <c r="G315" t="s">
        <v>1179</v>
      </c>
      <c r="H315" s="76" t="s">
        <v>414</v>
      </c>
      <c r="I315" s="76" t="s">
        <v>415</v>
      </c>
      <c r="J315" s="76" t="s">
        <v>384</v>
      </c>
      <c r="K315" s="77">
        <v>42497</v>
      </c>
      <c r="L315" s="76" t="s">
        <v>475</v>
      </c>
      <c r="M315" s="76" t="s">
        <v>688</v>
      </c>
      <c r="N315" s="76">
        <v>250</v>
      </c>
      <c r="O315" s="76">
        <v>248</v>
      </c>
      <c r="P315" s="78">
        <v>8.0000000000000002E-3</v>
      </c>
    </row>
    <row r="316" spans="7:16" x14ac:dyDescent="0.3">
      <c r="G316" t="s">
        <v>1180</v>
      </c>
      <c r="H316" s="76" t="s">
        <v>566</v>
      </c>
      <c r="I316" s="76" t="s">
        <v>567</v>
      </c>
      <c r="J316" s="76" t="s">
        <v>360</v>
      </c>
      <c r="K316" s="77">
        <v>43416</v>
      </c>
      <c r="L316" s="76" t="s">
        <v>373</v>
      </c>
      <c r="M316" s="76" t="s">
        <v>867</v>
      </c>
      <c r="N316" s="76">
        <v>700</v>
      </c>
      <c r="O316" s="76">
        <v>609</v>
      </c>
      <c r="P316" s="78">
        <v>0.13</v>
      </c>
    </row>
    <row r="317" spans="7:16" x14ac:dyDescent="0.3">
      <c r="G317" t="s">
        <v>1181</v>
      </c>
      <c r="H317" s="76" t="s">
        <v>376</v>
      </c>
      <c r="I317" s="76" t="s">
        <v>377</v>
      </c>
      <c r="J317" s="76" t="s">
        <v>360</v>
      </c>
      <c r="K317" s="76" t="s">
        <v>1182</v>
      </c>
      <c r="L317" s="76" t="s">
        <v>379</v>
      </c>
      <c r="M317" s="76" t="s">
        <v>906</v>
      </c>
      <c r="N317" s="76">
        <v>150</v>
      </c>
      <c r="O317" s="76">
        <v>140</v>
      </c>
      <c r="P317" s="78">
        <v>6.6699999999999995E-2</v>
      </c>
    </row>
    <row r="318" spans="7:16" x14ac:dyDescent="0.3">
      <c r="G318" t="s">
        <v>1183</v>
      </c>
      <c r="H318" s="76" t="s">
        <v>459</v>
      </c>
      <c r="I318" s="76" t="s">
        <v>422</v>
      </c>
      <c r="J318" s="76" t="s">
        <v>384</v>
      </c>
      <c r="K318" s="76" t="s">
        <v>1184</v>
      </c>
      <c r="L318" s="76" t="s">
        <v>424</v>
      </c>
      <c r="M318" s="76" t="s">
        <v>572</v>
      </c>
      <c r="N318" s="76">
        <v>500</v>
      </c>
      <c r="O318" s="76">
        <v>500</v>
      </c>
      <c r="P318" s="78">
        <v>0</v>
      </c>
    </row>
    <row r="319" spans="7:16" x14ac:dyDescent="0.3">
      <c r="G319" t="s">
        <v>1185</v>
      </c>
      <c r="H319" s="76" t="s">
        <v>668</v>
      </c>
      <c r="I319" s="76" t="s">
        <v>669</v>
      </c>
      <c r="J319" s="76" t="s">
        <v>360</v>
      </c>
      <c r="K319" s="77">
        <v>43168</v>
      </c>
      <c r="L319" s="76" t="s">
        <v>411</v>
      </c>
      <c r="M319" s="76" t="s">
        <v>671</v>
      </c>
      <c r="N319" s="76">
        <v>1000</v>
      </c>
      <c r="O319" s="76">
        <v>960</v>
      </c>
      <c r="P319" s="78">
        <v>0.04</v>
      </c>
    </row>
    <row r="320" spans="7:16" x14ac:dyDescent="0.3">
      <c r="G320" t="s">
        <v>1186</v>
      </c>
      <c r="H320" s="76" t="s">
        <v>615</v>
      </c>
      <c r="I320" s="76" t="s">
        <v>400</v>
      </c>
      <c r="J320" s="76" t="s">
        <v>372</v>
      </c>
      <c r="K320" s="77">
        <v>41919</v>
      </c>
      <c r="L320" s="76" t="s">
        <v>361</v>
      </c>
      <c r="M320" s="76" t="s">
        <v>992</v>
      </c>
      <c r="N320" s="76">
        <v>80</v>
      </c>
      <c r="O320" s="76">
        <v>73</v>
      </c>
      <c r="P320" s="78">
        <v>8.7499999999999994E-2</v>
      </c>
    </row>
    <row r="321" spans="7:16" x14ac:dyDescent="0.3">
      <c r="G321" t="s">
        <v>1187</v>
      </c>
      <c r="H321" s="76" t="s">
        <v>414</v>
      </c>
      <c r="I321" s="76" t="s">
        <v>415</v>
      </c>
      <c r="J321" s="76" t="s">
        <v>384</v>
      </c>
      <c r="K321" s="77">
        <v>42652</v>
      </c>
      <c r="L321" s="76" t="s">
        <v>373</v>
      </c>
      <c r="M321" s="76" t="s">
        <v>1018</v>
      </c>
      <c r="N321" s="76">
        <v>700</v>
      </c>
      <c r="O321" s="76">
        <v>700</v>
      </c>
      <c r="P321" s="78">
        <v>0</v>
      </c>
    </row>
    <row r="322" spans="7:16" x14ac:dyDescent="0.3">
      <c r="G322" t="s">
        <v>1188</v>
      </c>
      <c r="H322" s="76" t="s">
        <v>489</v>
      </c>
      <c r="I322" s="76" t="s">
        <v>490</v>
      </c>
      <c r="J322" s="76" t="s">
        <v>360</v>
      </c>
      <c r="K322" s="76" t="s">
        <v>1189</v>
      </c>
      <c r="L322" s="76" t="s">
        <v>373</v>
      </c>
      <c r="M322" s="76" t="s">
        <v>627</v>
      </c>
      <c r="N322" s="76">
        <v>700</v>
      </c>
      <c r="O322" s="76">
        <v>672</v>
      </c>
      <c r="P322" s="78">
        <v>0.04</v>
      </c>
    </row>
    <row r="323" spans="7:16" x14ac:dyDescent="0.3">
      <c r="G323" t="s">
        <v>1190</v>
      </c>
      <c r="H323" s="76" t="s">
        <v>675</v>
      </c>
      <c r="I323" s="76" t="s">
        <v>676</v>
      </c>
      <c r="J323" s="76" t="s">
        <v>384</v>
      </c>
      <c r="K323" s="76" t="s">
        <v>1191</v>
      </c>
      <c r="L323" s="76" t="s">
        <v>373</v>
      </c>
      <c r="M323" s="76" t="s">
        <v>678</v>
      </c>
      <c r="N323" s="76">
        <v>700</v>
      </c>
      <c r="O323" s="76">
        <v>651</v>
      </c>
      <c r="P323" s="78">
        <v>7.0000000000000007E-2</v>
      </c>
    </row>
    <row r="324" spans="7:16" x14ac:dyDescent="0.3">
      <c r="G324" t="s">
        <v>1192</v>
      </c>
      <c r="H324" s="76" t="s">
        <v>399</v>
      </c>
      <c r="I324" s="76" t="s">
        <v>400</v>
      </c>
      <c r="J324" s="76" t="s">
        <v>372</v>
      </c>
      <c r="K324" s="76" t="s">
        <v>1193</v>
      </c>
      <c r="L324" s="76" t="s">
        <v>379</v>
      </c>
      <c r="M324" s="76" t="s">
        <v>1194</v>
      </c>
      <c r="N324" s="76">
        <v>150</v>
      </c>
      <c r="O324" s="76">
        <v>137</v>
      </c>
      <c r="P324" s="78">
        <v>8.6699999999999999E-2</v>
      </c>
    </row>
    <row r="325" spans="7:16" x14ac:dyDescent="0.3">
      <c r="G325" t="s">
        <v>1195</v>
      </c>
      <c r="H325" s="76" t="s">
        <v>591</v>
      </c>
      <c r="I325" s="76" t="s">
        <v>592</v>
      </c>
      <c r="J325" s="76" t="s">
        <v>372</v>
      </c>
      <c r="K325" s="76" t="s">
        <v>1196</v>
      </c>
      <c r="L325" s="76" t="s">
        <v>373</v>
      </c>
      <c r="M325" s="76" t="s">
        <v>1197</v>
      </c>
      <c r="N325" s="76">
        <v>700</v>
      </c>
      <c r="O325" s="76">
        <v>651</v>
      </c>
      <c r="P325" s="78">
        <v>7.0000000000000007E-2</v>
      </c>
    </row>
    <row r="326" spans="7:16" x14ac:dyDescent="0.3">
      <c r="G326" t="s">
        <v>1198</v>
      </c>
      <c r="H326" s="76" t="s">
        <v>388</v>
      </c>
      <c r="I326" s="76" t="s">
        <v>389</v>
      </c>
      <c r="J326" s="76" t="s">
        <v>384</v>
      </c>
      <c r="K326" s="77">
        <v>43194</v>
      </c>
      <c r="L326" s="76" t="s">
        <v>475</v>
      </c>
      <c r="M326" s="76" t="s">
        <v>392</v>
      </c>
      <c r="N326" s="76">
        <v>250</v>
      </c>
      <c r="O326" s="76">
        <v>238</v>
      </c>
      <c r="P326" s="78">
        <v>4.8000000000000001E-2</v>
      </c>
    </row>
    <row r="327" spans="7:16" x14ac:dyDescent="0.3">
      <c r="G327" t="s">
        <v>1199</v>
      </c>
      <c r="H327" s="76" t="s">
        <v>370</v>
      </c>
      <c r="I327" s="76" t="s">
        <v>371</v>
      </c>
      <c r="J327" s="76" t="s">
        <v>372</v>
      </c>
      <c r="K327" s="76" t="s">
        <v>1200</v>
      </c>
      <c r="L327" s="76" t="s">
        <v>405</v>
      </c>
      <c r="M327" s="76" t="s">
        <v>374</v>
      </c>
      <c r="N327" s="76">
        <v>800</v>
      </c>
      <c r="O327" s="76">
        <v>696</v>
      </c>
      <c r="P327" s="78">
        <v>0.13</v>
      </c>
    </row>
    <row r="328" spans="7:16" x14ac:dyDescent="0.3">
      <c r="G328" t="s">
        <v>1201</v>
      </c>
      <c r="H328" s="76" t="s">
        <v>399</v>
      </c>
      <c r="I328" s="76" t="s">
        <v>400</v>
      </c>
      <c r="J328" s="76" t="s">
        <v>372</v>
      </c>
      <c r="K328" s="77">
        <v>41979</v>
      </c>
      <c r="L328" s="76" t="s">
        <v>391</v>
      </c>
      <c r="M328" s="76" t="s">
        <v>843</v>
      </c>
      <c r="N328" s="76">
        <v>30</v>
      </c>
      <c r="O328" s="76">
        <v>21</v>
      </c>
      <c r="P328" s="78">
        <v>0.3</v>
      </c>
    </row>
    <row r="329" spans="7:16" x14ac:dyDescent="0.3">
      <c r="G329" t="s">
        <v>1202</v>
      </c>
      <c r="H329" s="76" t="s">
        <v>489</v>
      </c>
      <c r="I329" s="76" t="s">
        <v>490</v>
      </c>
      <c r="J329" s="76" t="s">
        <v>360</v>
      </c>
      <c r="K329" s="76" t="s">
        <v>1203</v>
      </c>
      <c r="L329" s="76" t="s">
        <v>361</v>
      </c>
      <c r="M329" s="76" t="s">
        <v>627</v>
      </c>
      <c r="N329" s="76">
        <v>80</v>
      </c>
      <c r="O329" s="76">
        <v>74</v>
      </c>
      <c r="P329" s="78">
        <v>7.4999999999999997E-2</v>
      </c>
    </row>
    <row r="330" spans="7:16" x14ac:dyDescent="0.3">
      <c r="G330" t="s">
        <v>1204</v>
      </c>
      <c r="H330" s="76" t="s">
        <v>370</v>
      </c>
      <c r="I330" s="76" t="s">
        <v>371</v>
      </c>
      <c r="J330" s="76" t="s">
        <v>372</v>
      </c>
      <c r="K330" s="77">
        <v>42859</v>
      </c>
      <c r="L330" s="76" t="s">
        <v>475</v>
      </c>
      <c r="M330" s="76" t="s">
        <v>512</v>
      </c>
      <c r="N330" s="76">
        <v>250</v>
      </c>
      <c r="O330" s="76">
        <v>228</v>
      </c>
      <c r="P330" s="78">
        <v>8.7999999999999995E-2</v>
      </c>
    </row>
    <row r="331" spans="7:16" x14ac:dyDescent="0.3">
      <c r="G331" t="s">
        <v>1205</v>
      </c>
      <c r="H331" s="76" t="s">
        <v>551</v>
      </c>
      <c r="I331" s="76" t="s">
        <v>552</v>
      </c>
      <c r="J331" s="76" t="s">
        <v>360</v>
      </c>
      <c r="K331" s="76" t="s">
        <v>1206</v>
      </c>
      <c r="L331" s="76" t="s">
        <v>373</v>
      </c>
      <c r="M331" s="76" t="s">
        <v>1125</v>
      </c>
      <c r="N331" s="76">
        <v>700</v>
      </c>
      <c r="O331" s="76">
        <v>644</v>
      </c>
      <c r="P331" s="78">
        <v>0.08</v>
      </c>
    </row>
    <row r="332" spans="7:16" x14ac:dyDescent="0.3">
      <c r="G332" t="s">
        <v>1207</v>
      </c>
      <c r="H332" s="76" t="s">
        <v>429</v>
      </c>
      <c r="I332" s="76" t="s">
        <v>430</v>
      </c>
      <c r="J332" s="76" t="s">
        <v>384</v>
      </c>
      <c r="K332" s="76" t="s">
        <v>1208</v>
      </c>
      <c r="L332" s="76" t="s">
        <v>391</v>
      </c>
      <c r="M332" s="76" t="s">
        <v>1209</v>
      </c>
      <c r="N332" s="76">
        <v>30</v>
      </c>
      <c r="O332" s="76">
        <v>29</v>
      </c>
      <c r="P332" s="78">
        <v>3.3300000000000003E-2</v>
      </c>
    </row>
    <row r="333" spans="7:16" x14ac:dyDescent="0.3">
      <c r="G333" t="s">
        <v>1210</v>
      </c>
      <c r="H333" s="76" t="s">
        <v>421</v>
      </c>
      <c r="I333" s="76" t="s">
        <v>422</v>
      </c>
      <c r="J333" s="76" t="s">
        <v>384</v>
      </c>
      <c r="K333" s="77">
        <v>41797</v>
      </c>
      <c r="L333" s="76" t="s">
        <v>405</v>
      </c>
      <c r="M333" s="76" t="s">
        <v>1211</v>
      </c>
      <c r="N333" s="76">
        <v>800</v>
      </c>
      <c r="O333" s="76">
        <v>656</v>
      </c>
      <c r="P333" s="78">
        <v>0.18</v>
      </c>
    </row>
    <row r="334" spans="7:16" x14ac:dyDescent="0.3">
      <c r="G334" t="s">
        <v>1212</v>
      </c>
      <c r="H334" s="76" t="s">
        <v>519</v>
      </c>
      <c r="I334" s="76" t="s">
        <v>520</v>
      </c>
      <c r="J334" s="76" t="s">
        <v>360</v>
      </c>
      <c r="K334" s="77">
        <v>42926</v>
      </c>
      <c r="L334" s="76" t="s">
        <v>379</v>
      </c>
      <c r="M334" s="76" t="s">
        <v>564</v>
      </c>
      <c r="N334" s="76">
        <v>150</v>
      </c>
      <c r="O334" s="76">
        <v>149</v>
      </c>
      <c r="P334" s="78">
        <v>6.7000000000000002E-3</v>
      </c>
    </row>
    <row r="335" spans="7:16" x14ac:dyDescent="0.3">
      <c r="G335" t="s">
        <v>1213</v>
      </c>
      <c r="H335" s="76" t="s">
        <v>560</v>
      </c>
      <c r="I335" s="76" t="s">
        <v>465</v>
      </c>
      <c r="J335" s="76" t="s">
        <v>366</v>
      </c>
      <c r="K335" s="77">
        <v>43380</v>
      </c>
      <c r="L335" s="76" t="s">
        <v>379</v>
      </c>
      <c r="M335" s="76" t="s">
        <v>1214</v>
      </c>
      <c r="N335" s="76">
        <v>150</v>
      </c>
      <c r="O335" s="76">
        <v>147</v>
      </c>
      <c r="P335" s="78">
        <v>0.02</v>
      </c>
    </row>
    <row r="336" spans="7:16" x14ac:dyDescent="0.3">
      <c r="G336" t="s">
        <v>1215</v>
      </c>
      <c r="H336" s="76" t="s">
        <v>469</v>
      </c>
      <c r="I336" s="76" t="s">
        <v>435</v>
      </c>
      <c r="J336" s="76" t="s">
        <v>360</v>
      </c>
      <c r="K336" s="77">
        <v>42289</v>
      </c>
      <c r="L336" s="76" t="s">
        <v>361</v>
      </c>
      <c r="M336" s="76" t="s">
        <v>471</v>
      </c>
      <c r="N336" s="76">
        <v>80</v>
      </c>
      <c r="O336" s="76">
        <v>78</v>
      </c>
      <c r="P336" s="78">
        <v>2.5000000000000001E-2</v>
      </c>
    </row>
    <row r="337" spans="7:16" x14ac:dyDescent="0.3">
      <c r="G337" t="s">
        <v>1216</v>
      </c>
      <c r="H337" s="76" t="s">
        <v>747</v>
      </c>
      <c r="I337" s="76" t="s">
        <v>748</v>
      </c>
      <c r="J337" s="76" t="s">
        <v>360</v>
      </c>
      <c r="K337" s="76" t="s">
        <v>1217</v>
      </c>
      <c r="L337" s="76" t="s">
        <v>379</v>
      </c>
      <c r="M337" s="76" t="s">
        <v>800</v>
      </c>
      <c r="N337" s="76">
        <v>150</v>
      </c>
      <c r="O337" s="76">
        <v>147</v>
      </c>
      <c r="P337" s="78">
        <v>0.02</v>
      </c>
    </row>
    <row r="338" spans="7:16" x14ac:dyDescent="0.3">
      <c r="G338" t="s">
        <v>1218</v>
      </c>
      <c r="H338" s="76" t="s">
        <v>429</v>
      </c>
      <c r="I338" s="76" t="s">
        <v>430</v>
      </c>
      <c r="J338" s="76" t="s">
        <v>384</v>
      </c>
      <c r="K338" s="77">
        <v>42101</v>
      </c>
      <c r="L338" s="76" t="s">
        <v>396</v>
      </c>
      <c r="M338" s="76" t="s">
        <v>1043</v>
      </c>
      <c r="N338" s="76">
        <v>500</v>
      </c>
      <c r="O338" s="76">
        <v>360</v>
      </c>
      <c r="P338" s="78">
        <v>0.28000000000000003</v>
      </c>
    </row>
    <row r="339" spans="7:16" x14ac:dyDescent="0.3">
      <c r="G339" t="s">
        <v>1219</v>
      </c>
      <c r="H339" s="76" t="s">
        <v>497</v>
      </c>
      <c r="I339" s="76" t="s">
        <v>445</v>
      </c>
      <c r="J339" s="76" t="s">
        <v>384</v>
      </c>
      <c r="K339" s="76" t="s">
        <v>955</v>
      </c>
      <c r="L339" s="76" t="s">
        <v>483</v>
      </c>
      <c r="M339" s="76" t="s">
        <v>1220</v>
      </c>
      <c r="N339" s="76">
        <v>50</v>
      </c>
      <c r="O339" s="76">
        <v>45</v>
      </c>
      <c r="P339" s="78">
        <v>0.1</v>
      </c>
    </row>
    <row r="340" spans="7:16" x14ac:dyDescent="0.3">
      <c r="G340" t="s">
        <v>1221</v>
      </c>
      <c r="H340" s="76" t="s">
        <v>421</v>
      </c>
      <c r="I340" s="76" t="s">
        <v>422</v>
      </c>
      <c r="J340" s="76" t="s">
        <v>384</v>
      </c>
      <c r="K340" s="76" t="s">
        <v>1222</v>
      </c>
      <c r="L340" s="76" t="s">
        <v>483</v>
      </c>
      <c r="M340" s="76" t="s">
        <v>752</v>
      </c>
      <c r="N340" s="76">
        <v>50</v>
      </c>
      <c r="O340" s="76">
        <v>43</v>
      </c>
      <c r="P340" s="78">
        <v>0.14000000000000001</v>
      </c>
    </row>
    <row r="341" spans="7:16" x14ac:dyDescent="0.3">
      <c r="G341" t="s">
        <v>1223</v>
      </c>
      <c r="H341" s="76" t="s">
        <v>591</v>
      </c>
      <c r="I341" s="76" t="s">
        <v>592</v>
      </c>
      <c r="J341" s="76" t="s">
        <v>372</v>
      </c>
      <c r="K341" s="76" t="s">
        <v>1224</v>
      </c>
      <c r="L341" s="76" t="s">
        <v>361</v>
      </c>
      <c r="M341" s="76" t="s">
        <v>1225</v>
      </c>
      <c r="N341" s="76">
        <v>80</v>
      </c>
      <c r="O341" s="76">
        <v>75</v>
      </c>
      <c r="P341" s="78">
        <v>6.25E-2</v>
      </c>
    </row>
    <row r="342" spans="7:16" x14ac:dyDescent="0.3">
      <c r="G342" t="s">
        <v>1226</v>
      </c>
      <c r="H342" s="76" t="s">
        <v>566</v>
      </c>
      <c r="I342" s="76" t="s">
        <v>567</v>
      </c>
      <c r="J342" s="76" t="s">
        <v>360</v>
      </c>
      <c r="K342" s="77">
        <v>42071</v>
      </c>
      <c r="L342" s="76" t="s">
        <v>483</v>
      </c>
      <c r="M342" s="76" t="s">
        <v>1227</v>
      </c>
      <c r="N342" s="76">
        <v>50</v>
      </c>
      <c r="O342" s="76">
        <v>36</v>
      </c>
      <c r="P342" s="78">
        <v>0.28000000000000003</v>
      </c>
    </row>
    <row r="343" spans="7:16" x14ac:dyDescent="0.3">
      <c r="G343" t="s">
        <v>1228</v>
      </c>
      <c r="H343" s="76" t="s">
        <v>619</v>
      </c>
      <c r="I343" s="76" t="s">
        <v>620</v>
      </c>
      <c r="J343" s="76" t="s">
        <v>372</v>
      </c>
      <c r="K343" s="76" t="s">
        <v>1229</v>
      </c>
      <c r="L343" s="76" t="s">
        <v>405</v>
      </c>
      <c r="M343" s="76" t="s">
        <v>1230</v>
      </c>
      <c r="N343" s="76">
        <v>800</v>
      </c>
      <c r="O343" s="76">
        <v>448</v>
      </c>
      <c r="P343" s="78">
        <v>0.44</v>
      </c>
    </row>
    <row r="344" spans="7:16" x14ac:dyDescent="0.3">
      <c r="G344" t="s">
        <v>1231</v>
      </c>
      <c r="H344" s="76" t="s">
        <v>638</v>
      </c>
      <c r="I344" s="76" t="s">
        <v>639</v>
      </c>
      <c r="J344" s="76" t="s">
        <v>360</v>
      </c>
      <c r="K344" s="77">
        <v>42826</v>
      </c>
      <c r="L344" s="76" t="s">
        <v>379</v>
      </c>
      <c r="M344" s="76" t="s">
        <v>818</v>
      </c>
      <c r="N344" s="76">
        <v>150</v>
      </c>
      <c r="O344" s="76">
        <v>138</v>
      </c>
      <c r="P344" s="78">
        <v>0.08</v>
      </c>
    </row>
    <row r="345" spans="7:16" x14ac:dyDescent="0.3">
      <c r="G345" t="s">
        <v>1232</v>
      </c>
      <c r="H345" s="76" t="s">
        <v>494</v>
      </c>
      <c r="I345" s="76" t="s">
        <v>465</v>
      </c>
      <c r="J345" s="76" t="s">
        <v>366</v>
      </c>
      <c r="K345" s="76" t="s">
        <v>1060</v>
      </c>
      <c r="L345" s="76" t="s">
        <v>424</v>
      </c>
      <c r="M345" s="76" t="s">
        <v>1233</v>
      </c>
      <c r="N345" s="76">
        <v>500</v>
      </c>
      <c r="O345" s="76">
        <v>500</v>
      </c>
      <c r="P345" s="78">
        <v>0</v>
      </c>
    </row>
    <row r="346" spans="7:16" x14ac:dyDescent="0.3">
      <c r="G346" t="s">
        <v>1234</v>
      </c>
      <c r="H346" s="76" t="s">
        <v>376</v>
      </c>
      <c r="I346" s="76" t="s">
        <v>377</v>
      </c>
      <c r="J346" s="76" t="s">
        <v>360</v>
      </c>
      <c r="K346" s="76" t="s">
        <v>1235</v>
      </c>
      <c r="L346" s="76" t="s">
        <v>424</v>
      </c>
      <c r="M346" s="76" t="s">
        <v>841</v>
      </c>
      <c r="N346" s="76">
        <v>500</v>
      </c>
      <c r="O346" s="76">
        <v>495</v>
      </c>
      <c r="P346" s="78">
        <v>0.01</v>
      </c>
    </row>
    <row r="347" spans="7:16" x14ac:dyDescent="0.3">
      <c r="G347" t="s">
        <v>1236</v>
      </c>
      <c r="H347" s="76" t="s">
        <v>551</v>
      </c>
      <c r="I347" s="76" t="s">
        <v>552</v>
      </c>
      <c r="J347" s="76" t="s">
        <v>360</v>
      </c>
      <c r="K347" s="77">
        <v>41700</v>
      </c>
      <c r="L347" s="76" t="s">
        <v>379</v>
      </c>
      <c r="M347" s="76" t="s">
        <v>1125</v>
      </c>
      <c r="N347" s="76">
        <v>150</v>
      </c>
      <c r="O347" s="76">
        <v>128</v>
      </c>
      <c r="P347" s="78">
        <v>0.1467</v>
      </c>
    </row>
    <row r="348" spans="7:16" x14ac:dyDescent="0.3">
      <c r="G348" t="s">
        <v>1237</v>
      </c>
      <c r="H348" s="76" t="s">
        <v>421</v>
      </c>
      <c r="I348" s="76" t="s">
        <v>422</v>
      </c>
      <c r="J348" s="76" t="s">
        <v>384</v>
      </c>
      <c r="K348" s="76" t="s">
        <v>1238</v>
      </c>
      <c r="L348" s="76" t="s">
        <v>483</v>
      </c>
      <c r="M348" s="76" t="s">
        <v>869</v>
      </c>
      <c r="N348" s="76">
        <v>50</v>
      </c>
      <c r="O348" s="76">
        <v>42</v>
      </c>
      <c r="P348" s="78">
        <v>0.16</v>
      </c>
    </row>
    <row r="349" spans="7:16" x14ac:dyDescent="0.3">
      <c r="G349" t="s">
        <v>1239</v>
      </c>
      <c r="H349" s="76" t="s">
        <v>845</v>
      </c>
      <c r="I349" s="76" t="s">
        <v>846</v>
      </c>
      <c r="J349" s="76" t="s">
        <v>360</v>
      </c>
      <c r="K349" s="77">
        <v>41642</v>
      </c>
      <c r="L349" s="76" t="s">
        <v>361</v>
      </c>
      <c r="M349" s="76" t="s">
        <v>1240</v>
      </c>
      <c r="N349" s="76">
        <v>80</v>
      </c>
      <c r="O349" s="76">
        <v>80</v>
      </c>
      <c r="P349" s="78">
        <v>0</v>
      </c>
    </row>
    <row r="350" spans="7:16" x14ac:dyDescent="0.3">
      <c r="G350" t="s">
        <v>1241</v>
      </c>
      <c r="H350" s="76" t="s">
        <v>478</v>
      </c>
      <c r="I350" s="76" t="s">
        <v>479</v>
      </c>
      <c r="J350" s="76" t="s">
        <v>384</v>
      </c>
      <c r="K350" s="76" t="s">
        <v>1242</v>
      </c>
      <c r="L350" s="76" t="s">
        <v>379</v>
      </c>
      <c r="M350" s="76" t="s">
        <v>1243</v>
      </c>
      <c r="N350" s="76">
        <v>150</v>
      </c>
      <c r="O350" s="76">
        <v>147</v>
      </c>
      <c r="P350" s="78">
        <v>0.02</v>
      </c>
    </row>
    <row r="351" spans="7:16" x14ac:dyDescent="0.3">
      <c r="G351" t="s">
        <v>1244</v>
      </c>
      <c r="H351" s="76" t="s">
        <v>409</v>
      </c>
      <c r="I351" s="76" t="s">
        <v>410</v>
      </c>
      <c r="J351" s="76" t="s">
        <v>360</v>
      </c>
      <c r="K351" s="76" t="s">
        <v>1245</v>
      </c>
      <c r="L351" s="76" t="s">
        <v>385</v>
      </c>
      <c r="M351" s="76" t="s">
        <v>1246</v>
      </c>
      <c r="N351" s="76">
        <v>50</v>
      </c>
      <c r="O351" s="76">
        <v>44</v>
      </c>
      <c r="P351" s="78">
        <v>0.12</v>
      </c>
    </row>
    <row r="352" spans="7:16" x14ac:dyDescent="0.3">
      <c r="G352" t="s">
        <v>1247</v>
      </c>
      <c r="H352" s="76" t="s">
        <v>399</v>
      </c>
      <c r="I352" s="76" t="s">
        <v>400</v>
      </c>
      <c r="J352" s="76" t="s">
        <v>372</v>
      </c>
      <c r="K352" s="76" t="s">
        <v>1248</v>
      </c>
      <c r="L352" s="76" t="s">
        <v>461</v>
      </c>
      <c r="M352" s="76" t="s">
        <v>1249</v>
      </c>
      <c r="N352" s="76">
        <v>70</v>
      </c>
      <c r="O352" s="76">
        <v>67</v>
      </c>
      <c r="P352" s="78">
        <v>4.2900000000000001E-2</v>
      </c>
    </row>
    <row r="353" spans="7:16" x14ac:dyDescent="0.3">
      <c r="G353" t="s">
        <v>1250</v>
      </c>
      <c r="H353" s="76" t="s">
        <v>464</v>
      </c>
      <c r="I353" s="76" t="s">
        <v>465</v>
      </c>
      <c r="J353" s="76" t="s">
        <v>366</v>
      </c>
      <c r="K353" s="76" t="s">
        <v>1251</v>
      </c>
      <c r="L353" s="76" t="s">
        <v>461</v>
      </c>
      <c r="M353" s="76" t="s">
        <v>636</v>
      </c>
      <c r="N353" s="76">
        <v>70</v>
      </c>
      <c r="O353" s="76">
        <v>67</v>
      </c>
      <c r="P353" s="78">
        <v>4.2900000000000001E-2</v>
      </c>
    </row>
    <row r="354" spans="7:16" x14ac:dyDescent="0.3">
      <c r="G354" t="s">
        <v>1252</v>
      </c>
      <c r="H354" s="76" t="s">
        <v>497</v>
      </c>
      <c r="I354" s="76" t="s">
        <v>445</v>
      </c>
      <c r="J354" s="76" t="s">
        <v>384</v>
      </c>
      <c r="K354" s="76" t="s">
        <v>1253</v>
      </c>
      <c r="L354" s="76" t="s">
        <v>396</v>
      </c>
      <c r="M354" s="76" t="s">
        <v>1254</v>
      </c>
      <c r="N354" s="76">
        <v>500</v>
      </c>
      <c r="O354" s="76">
        <v>460</v>
      </c>
      <c r="P354" s="78">
        <v>0.08</v>
      </c>
    </row>
    <row r="355" spans="7:16" x14ac:dyDescent="0.3">
      <c r="G355" t="s">
        <v>1255</v>
      </c>
      <c r="H355" s="76" t="s">
        <v>358</v>
      </c>
      <c r="I355" s="76" t="s">
        <v>359</v>
      </c>
      <c r="J355" s="76" t="s">
        <v>360</v>
      </c>
      <c r="K355" s="76" t="s">
        <v>754</v>
      </c>
      <c r="L355" s="76" t="s">
        <v>424</v>
      </c>
      <c r="M355" s="76" t="s">
        <v>362</v>
      </c>
      <c r="N355" s="76">
        <v>500</v>
      </c>
      <c r="O355" s="76">
        <v>495</v>
      </c>
      <c r="P355" s="78">
        <v>0.01</v>
      </c>
    </row>
    <row r="356" spans="7:16" x14ac:dyDescent="0.3">
      <c r="G356" t="s">
        <v>1256</v>
      </c>
      <c r="H356" s="76" t="s">
        <v>449</v>
      </c>
      <c r="I356" s="76" t="s">
        <v>450</v>
      </c>
      <c r="J356" s="76" t="s">
        <v>360</v>
      </c>
      <c r="K356" s="77">
        <v>42529</v>
      </c>
      <c r="L356" s="76" t="s">
        <v>405</v>
      </c>
      <c r="M356" s="76" t="s">
        <v>452</v>
      </c>
      <c r="N356" s="76">
        <v>800</v>
      </c>
      <c r="O356" s="76">
        <v>704</v>
      </c>
      <c r="P356" s="78">
        <v>0.12</v>
      </c>
    </row>
    <row r="357" spans="7:16" x14ac:dyDescent="0.3">
      <c r="G357" t="s">
        <v>1257</v>
      </c>
      <c r="H357" s="76" t="s">
        <v>438</v>
      </c>
      <c r="I357" s="76" t="s">
        <v>439</v>
      </c>
      <c r="J357" s="76" t="s">
        <v>360</v>
      </c>
      <c r="K357" s="77">
        <v>41886</v>
      </c>
      <c r="L357" s="76" t="s">
        <v>361</v>
      </c>
      <c r="M357" s="76" t="s">
        <v>798</v>
      </c>
      <c r="N357" s="76">
        <v>80</v>
      </c>
      <c r="O357" s="76">
        <v>60</v>
      </c>
      <c r="P357" s="78">
        <v>0.25</v>
      </c>
    </row>
    <row r="358" spans="7:16" x14ac:dyDescent="0.3">
      <c r="G358" t="s">
        <v>1258</v>
      </c>
      <c r="H358" s="76" t="s">
        <v>675</v>
      </c>
      <c r="I358" s="76" t="s">
        <v>676</v>
      </c>
      <c r="J358" s="76" t="s">
        <v>384</v>
      </c>
      <c r="K358" s="77">
        <v>43289</v>
      </c>
      <c r="L358" s="76" t="s">
        <v>424</v>
      </c>
      <c r="M358" s="76" t="s">
        <v>678</v>
      </c>
      <c r="N358" s="76">
        <v>500</v>
      </c>
      <c r="O358" s="76">
        <v>500</v>
      </c>
      <c r="P358" s="78">
        <v>0</v>
      </c>
    </row>
    <row r="359" spans="7:16" x14ac:dyDescent="0.3">
      <c r="G359" t="s">
        <v>1259</v>
      </c>
      <c r="H359" s="76" t="s">
        <v>524</v>
      </c>
      <c r="I359" s="76" t="s">
        <v>465</v>
      </c>
      <c r="J359" s="76" t="s">
        <v>366</v>
      </c>
      <c r="K359" s="76" t="s">
        <v>1260</v>
      </c>
      <c r="L359" s="76" t="s">
        <v>379</v>
      </c>
      <c r="M359" s="76" t="s">
        <v>784</v>
      </c>
      <c r="N359" s="76">
        <v>150</v>
      </c>
      <c r="O359" s="76">
        <v>150</v>
      </c>
      <c r="P359" s="78">
        <v>0</v>
      </c>
    </row>
    <row r="360" spans="7:16" x14ac:dyDescent="0.3">
      <c r="G360" t="s">
        <v>1261</v>
      </c>
      <c r="H360" s="76" t="s">
        <v>478</v>
      </c>
      <c r="I360" s="76" t="s">
        <v>479</v>
      </c>
      <c r="J360" s="76" t="s">
        <v>384</v>
      </c>
      <c r="K360" s="77">
        <v>42289</v>
      </c>
      <c r="L360" s="76" t="s">
        <v>461</v>
      </c>
      <c r="M360" s="76" t="s">
        <v>1262</v>
      </c>
      <c r="N360" s="76">
        <v>70</v>
      </c>
      <c r="O360" s="76">
        <v>68</v>
      </c>
      <c r="P360" s="78">
        <v>2.86E-2</v>
      </c>
    </row>
    <row r="361" spans="7:16" x14ac:dyDescent="0.3">
      <c r="G361" t="s">
        <v>1263</v>
      </c>
      <c r="H361" s="76" t="s">
        <v>845</v>
      </c>
      <c r="I361" s="76" t="s">
        <v>846</v>
      </c>
      <c r="J361" s="76" t="s">
        <v>360</v>
      </c>
      <c r="K361" s="76" t="s">
        <v>937</v>
      </c>
      <c r="L361" s="76" t="s">
        <v>461</v>
      </c>
      <c r="M361" s="76" t="s">
        <v>1264</v>
      </c>
      <c r="N361" s="76">
        <v>70</v>
      </c>
      <c r="O361" s="76">
        <v>70</v>
      </c>
      <c r="P361" s="78">
        <v>0</v>
      </c>
    </row>
    <row r="362" spans="7:16" x14ac:dyDescent="0.3">
      <c r="G362" t="s">
        <v>1265</v>
      </c>
      <c r="H362" s="76" t="s">
        <v>675</v>
      </c>
      <c r="I362" s="76" t="s">
        <v>676</v>
      </c>
      <c r="J362" s="76" t="s">
        <v>384</v>
      </c>
      <c r="K362" s="77">
        <v>43262</v>
      </c>
      <c r="L362" s="76" t="s">
        <v>391</v>
      </c>
      <c r="M362" s="76" t="s">
        <v>1266</v>
      </c>
      <c r="N362" s="76">
        <v>30</v>
      </c>
      <c r="O362" s="76">
        <v>28</v>
      </c>
      <c r="P362" s="78">
        <v>6.6699999999999995E-2</v>
      </c>
    </row>
    <row r="363" spans="7:16" x14ac:dyDescent="0.3">
      <c r="G363" t="s">
        <v>1267</v>
      </c>
      <c r="H363" s="76" t="s">
        <v>675</v>
      </c>
      <c r="I363" s="76" t="s">
        <v>676</v>
      </c>
      <c r="J363" s="76" t="s">
        <v>384</v>
      </c>
      <c r="K363" s="77">
        <v>42800</v>
      </c>
      <c r="L363" s="76" t="s">
        <v>461</v>
      </c>
      <c r="M363" s="76" t="s">
        <v>1268</v>
      </c>
      <c r="N363" s="76">
        <v>70</v>
      </c>
      <c r="O363" s="76">
        <v>64</v>
      </c>
      <c r="P363" s="78">
        <v>8.5699999999999998E-2</v>
      </c>
    </row>
    <row r="364" spans="7:16" x14ac:dyDescent="0.3">
      <c r="G364" t="s">
        <v>1269</v>
      </c>
      <c r="H364" s="76" t="s">
        <v>370</v>
      </c>
      <c r="I364" s="76" t="s">
        <v>371</v>
      </c>
      <c r="J364" s="76" t="s">
        <v>372</v>
      </c>
      <c r="K364" s="76" t="s">
        <v>651</v>
      </c>
      <c r="L364" s="76" t="s">
        <v>483</v>
      </c>
      <c r="M364" s="76" t="s">
        <v>374</v>
      </c>
      <c r="N364" s="76">
        <v>50</v>
      </c>
      <c r="O364" s="76">
        <v>38</v>
      </c>
      <c r="P364" s="78">
        <v>0.24</v>
      </c>
    </row>
    <row r="365" spans="7:16" x14ac:dyDescent="0.3">
      <c r="G365" t="s">
        <v>1270</v>
      </c>
      <c r="H365" s="76" t="s">
        <v>364</v>
      </c>
      <c r="I365" s="76" t="s">
        <v>365</v>
      </c>
      <c r="J365" s="76" t="s">
        <v>366</v>
      </c>
      <c r="K365" s="76" t="s">
        <v>966</v>
      </c>
      <c r="L365" s="76" t="s">
        <v>483</v>
      </c>
      <c r="M365" s="76" t="s">
        <v>1037</v>
      </c>
      <c r="N365" s="76">
        <v>50</v>
      </c>
      <c r="O365" s="76">
        <v>50</v>
      </c>
      <c r="P365" s="78">
        <v>0</v>
      </c>
    </row>
    <row r="366" spans="7:16" x14ac:dyDescent="0.3">
      <c r="G366" t="s">
        <v>1271</v>
      </c>
      <c r="H366" s="76" t="s">
        <v>459</v>
      </c>
      <c r="I366" s="76" t="s">
        <v>422</v>
      </c>
      <c r="J366" s="76" t="s">
        <v>384</v>
      </c>
      <c r="K366" s="76" t="s">
        <v>1272</v>
      </c>
      <c r="L366" s="76" t="s">
        <v>396</v>
      </c>
      <c r="M366" s="76" t="s">
        <v>646</v>
      </c>
      <c r="N366" s="76">
        <v>500</v>
      </c>
      <c r="O366" s="76">
        <v>465</v>
      </c>
      <c r="P366" s="78">
        <v>7.0000000000000007E-2</v>
      </c>
    </row>
    <row r="367" spans="7:16" x14ac:dyDescent="0.3">
      <c r="G367" t="s">
        <v>1273</v>
      </c>
      <c r="H367" s="76" t="s">
        <v>528</v>
      </c>
      <c r="I367" s="76" t="s">
        <v>465</v>
      </c>
      <c r="J367" s="76" t="s">
        <v>366</v>
      </c>
      <c r="K367" s="76" t="s">
        <v>1274</v>
      </c>
      <c r="L367" s="76" t="s">
        <v>385</v>
      </c>
      <c r="M367" s="76" t="s">
        <v>1275</v>
      </c>
      <c r="N367" s="76">
        <v>50</v>
      </c>
      <c r="O367" s="76">
        <v>44</v>
      </c>
      <c r="P367" s="78">
        <v>0.12</v>
      </c>
    </row>
    <row r="368" spans="7:16" x14ac:dyDescent="0.3">
      <c r="G368" t="s">
        <v>1276</v>
      </c>
      <c r="H368" s="76" t="s">
        <v>591</v>
      </c>
      <c r="I368" s="76" t="s">
        <v>592</v>
      </c>
      <c r="J368" s="76" t="s">
        <v>372</v>
      </c>
      <c r="K368" s="76" t="s">
        <v>1090</v>
      </c>
      <c r="L368" s="76" t="s">
        <v>385</v>
      </c>
      <c r="M368" s="76" t="s">
        <v>1277</v>
      </c>
      <c r="N368" s="76">
        <v>50</v>
      </c>
      <c r="O368" s="76">
        <v>47</v>
      </c>
      <c r="P368" s="78">
        <v>0.06</v>
      </c>
    </row>
    <row r="369" spans="7:16" x14ac:dyDescent="0.3">
      <c r="G369" t="s">
        <v>1278</v>
      </c>
      <c r="H369" s="76" t="s">
        <v>547</v>
      </c>
      <c r="I369" s="76" t="s">
        <v>548</v>
      </c>
      <c r="J369" s="76" t="s">
        <v>360</v>
      </c>
      <c r="K369" s="76" t="s">
        <v>1279</v>
      </c>
      <c r="L369" s="76" t="s">
        <v>379</v>
      </c>
      <c r="M369" s="76" t="s">
        <v>1005</v>
      </c>
      <c r="N369" s="76">
        <v>150</v>
      </c>
      <c r="O369" s="76">
        <v>101</v>
      </c>
      <c r="P369" s="78">
        <v>0.32669999999999999</v>
      </c>
    </row>
    <row r="370" spans="7:16" x14ac:dyDescent="0.3">
      <c r="G370" t="s">
        <v>1280</v>
      </c>
      <c r="H370" s="76" t="s">
        <v>514</v>
      </c>
      <c r="I370" s="76" t="s">
        <v>515</v>
      </c>
      <c r="J370" s="76" t="s">
        <v>360</v>
      </c>
      <c r="K370" s="77">
        <v>41831</v>
      </c>
      <c r="L370" s="76" t="s">
        <v>361</v>
      </c>
      <c r="M370" s="76" t="s">
        <v>1281</v>
      </c>
      <c r="N370" s="76">
        <v>80</v>
      </c>
      <c r="O370" s="76">
        <v>78</v>
      </c>
      <c r="P370" s="78">
        <v>2.5000000000000001E-2</v>
      </c>
    </row>
    <row r="371" spans="7:16" x14ac:dyDescent="0.3">
      <c r="G371" t="s">
        <v>1282</v>
      </c>
      <c r="H371" s="76" t="s">
        <v>459</v>
      </c>
      <c r="I371" s="76" t="s">
        <v>422</v>
      </c>
      <c r="J371" s="76" t="s">
        <v>384</v>
      </c>
      <c r="K371" s="76" t="s">
        <v>1272</v>
      </c>
      <c r="L371" s="76" t="s">
        <v>424</v>
      </c>
      <c r="M371" s="76" t="s">
        <v>1283</v>
      </c>
      <c r="N371" s="76">
        <v>500</v>
      </c>
      <c r="O371" s="76">
        <v>500</v>
      </c>
      <c r="P371" s="78">
        <v>0</v>
      </c>
    </row>
    <row r="372" spans="7:16" x14ac:dyDescent="0.3">
      <c r="G372" t="s">
        <v>1284</v>
      </c>
      <c r="H372" s="76" t="s">
        <v>399</v>
      </c>
      <c r="I372" s="76" t="s">
        <v>400</v>
      </c>
      <c r="J372" s="76" t="s">
        <v>372</v>
      </c>
      <c r="K372" s="76" t="s">
        <v>1285</v>
      </c>
      <c r="L372" s="76" t="s">
        <v>361</v>
      </c>
      <c r="M372" s="76" t="s">
        <v>1286</v>
      </c>
      <c r="N372" s="76">
        <v>80</v>
      </c>
      <c r="O372" s="76">
        <v>74</v>
      </c>
      <c r="P372" s="78">
        <v>7.4999999999999997E-2</v>
      </c>
    </row>
    <row r="373" spans="7:16" x14ac:dyDescent="0.3">
      <c r="G373" t="s">
        <v>1287</v>
      </c>
      <c r="H373" s="76" t="s">
        <v>449</v>
      </c>
      <c r="I373" s="76" t="s">
        <v>450</v>
      </c>
      <c r="J373" s="76" t="s">
        <v>360</v>
      </c>
      <c r="K373" s="76" t="s">
        <v>693</v>
      </c>
      <c r="L373" s="76" t="s">
        <v>461</v>
      </c>
      <c r="M373" s="76" t="s">
        <v>1288</v>
      </c>
      <c r="N373" s="76">
        <v>70</v>
      </c>
      <c r="O373" s="76">
        <v>68</v>
      </c>
      <c r="P373" s="78">
        <v>2.86E-2</v>
      </c>
    </row>
    <row r="374" spans="7:16" x14ac:dyDescent="0.3">
      <c r="G374" t="s">
        <v>1289</v>
      </c>
      <c r="H374" s="76" t="s">
        <v>668</v>
      </c>
      <c r="I374" s="76" t="s">
        <v>669</v>
      </c>
      <c r="J374" s="76" t="s">
        <v>360</v>
      </c>
      <c r="K374" s="77">
        <v>41945</v>
      </c>
      <c r="L374" s="76" t="s">
        <v>396</v>
      </c>
      <c r="M374" s="76" t="s">
        <v>736</v>
      </c>
      <c r="N374" s="76">
        <v>500</v>
      </c>
      <c r="O374" s="76">
        <v>500</v>
      </c>
      <c r="P374" s="78">
        <v>0</v>
      </c>
    </row>
    <row r="375" spans="7:16" x14ac:dyDescent="0.3">
      <c r="G375" t="s">
        <v>1290</v>
      </c>
      <c r="H375" s="76" t="s">
        <v>615</v>
      </c>
      <c r="I375" s="76" t="s">
        <v>400</v>
      </c>
      <c r="J375" s="76" t="s">
        <v>372</v>
      </c>
      <c r="K375" s="77">
        <v>43194</v>
      </c>
      <c r="L375" s="76" t="s">
        <v>411</v>
      </c>
      <c r="M375" s="76" t="s">
        <v>1291</v>
      </c>
      <c r="N375" s="76">
        <v>1000</v>
      </c>
      <c r="O375" s="76">
        <v>720</v>
      </c>
      <c r="P375" s="78">
        <v>0.28000000000000003</v>
      </c>
    </row>
    <row r="376" spans="7:16" x14ac:dyDescent="0.3">
      <c r="G376" t="s">
        <v>1292</v>
      </c>
      <c r="H376" s="76" t="s">
        <v>364</v>
      </c>
      <c r="I376" s="76" t="s">
        <v>365</v>
      </c>
      <c r="J376" s="76" t="s">
        <v>366</v>
      </c>
      <c r="K376" s="76" t="s">
        <v>1293</v>
      </c>
      <c r="L376" s="76" t="s">
        <v>396</v>
      </c>
      <c r="M376" s="76" t="s">
        <v>1137</v>
      </c>
      <c r="N376" s="76">
        <v>500</v>
      </c>
      <c r="O376" s="76">
        <v>480</v>
      </c>
      <c r="P376" s="78">
        <v>0.04</v>
      </c>
    </row>
    <row r="377" spans="7:16" x14ac:dyDescent="0.3">
      <c r="G377" t="s">
        <v>1294</v>
      </c>
      <c r="H377" s="76" t="s">
        <v>524</v>
      </c>
      <c r="I377" s="76" t="s">
        <v>465</v>
      </c>
      <c r="J377" s="76" t="s">
        <v>366</v>
      </c>
      <c r="K377" s="76" t="s">
        <v>1295</v>
      </c>
      <c r="L377" s="76" t="s">
        <v>385</v>
      </c>
      <c r="M377" s="76" t="s">
        <v>1296</v>
      </c>
      <c r="N377" s="76">
        <v>50</v>
      </c>
      <c r="O377" s="76">
        <v>43</v>
      </c>
      <c r="P377" s="78">
        <v>0.14000000000000001</v>
      </c>
    </row>
    <row r="378" spans="7:16" x14ac:dyDescent="0.3">
      <c r="G378" t="s">
        <v>1297</v>
      </c>
      <c r="H378" s="76" t="s">
        <v>403</v>
      </c>
      <c r="I378" s="76" t="s">
        <v>404</v>
      </c>
      <c r="J378" s="76" t="s">
        <v>360</v>
      </c>
      <c r="K378" s="76" t="s">
        <v>1298</v>
      </c>
      <c r="L378" s="76" t="s">
        <v>379</v>
      </c>
      <c r="M378" s="76" t="s">
        <v>1173</v>
      </c>
      <c r="N378" s="76">
        <v>150</v>
      </c>
      <c r="O378" s="76">
        <v>150</v>
      </c>
      <c r="P378" s="78">
        <v>0</v>
      </c>
    </row>
    <row r="379" spans="7:16" x14ac:dyDescent="0.3">
      <c r="G379" t="s">
        <v>1299</v>
      </c>
      <c r="H379" s="76" t="s">
        <v>358</v>
      </c>
      <c r="I379" s="76" t="s">
        <v>359</v>
      </c>
      <c r="J379" s="76" t="s">
        <v>360</v>
      </c>
      <c r="K379" s="76" t="s">
        <v>1300</v>
      </c>
      <c r="L379" s="76" t="s">
        <v>405</v>
      </c>
      <c r="M379" s="76" t="s">
        <v>780</v>
      </c>
      <c r="N379" s="76">
        <v>800</v>
      </c>
      <c r="O379" s="76">
        <v>528</v>
      </c>
      <c r="P379" s="78">
        <v>0.34</v>
      </c>
    </row>
    <row r="380" spans="7:16" x14ac:dyDescent="0.3">
      <c r="G380" t="s">
        <v>1301</v>
      </c>
      <c r="H380" s="76" t="s">
        <v>566</v>
      </c>
      <c r="I380" s="76" t="s">
        <v>567</v>
      </c>
      <c r="J380" s="76" t="s">
        <v>360</v>
      </c>
      <c r="K380" s="77">
        <v>42158</v>
      </c>
      <c r="L380" s="76" t="s">
        <v>385</v>
      </c>
      <c r="M380" s="76" t="s">
        <v>1302</v>
      </c>
      <c r="N380" s="76">
        <v>50</v>
      </c>
      <c r="O380" s="76">
        <v>39</v>
      </c>
      <c r="P380" s="78">
        <v>0.22</v>
      </c>
    </row>
    <row r="381" spans="7:16" x14ac:dyDescent="0.3">
      <c r="G381" t="s">
        <v>1303</v>
      </c>
      <c r="H381" s="76" t="s">
        <v>438</v>
      </c>
      <c r="I381" s="76" t="s">
        <v>439</v>
      </c>
      <c r="J381" s="76" t="s">
        <v>360</v>
      </c>
      <c r="K381" s="76" t="s">
        <v>1304</v>
      </c>
      <c r="L381" s="76" t="s">
        <v>483</v>
      </c>
      <c r="M381" s="76" t="s">
        <v>440</v>
      </c>
      <c r="N381" s="76">
        <v>50</v>
      </c>
      <c r="O381" s="76">
        <v>50</v>
      </c>
      <c r="P381" s="78">
        <v>0</v>
      </c>
    </row>
    <row r="382" spans="7:16" x14ac:dyDescent="0.3">
      <c r="G382" t="s">
        <v>1305</v>
      </c>
      <c r="H382" s="76" t="s">
        <v>459</v>
      </c>
      <c r="I382" s="76" t="s">
        <v>422</v>
      </c>
      <c r="J382" s="76" t="s">
        <v>384</v>
      </c>
      <c r="K382" s="76" t="s">
        <v>1306</v>
      </c>
      <c r="L382" s="76" t="s">
        <v>424</v>
      </c>
      <c r="M382" s="76" t="s">
        <v>1120</v>
      </c>
      <c r="N382" s="76">
        <v>500</v>
      </c>
      <c r="O382" s="76">
        <v>500</v>
      </c>
      <c r="P382" s="78">
        <v>0</v>
      </c>
    </row>
    <row r="383" spans="7:16" x14ac:dyDescent="0.3">
      <c r="G383" t="s">
        <v>1307</v>
      </c>
      <c r="H383" s="76" t="s">
        <v>449</v>
      </c>
      <c r="I383" s="76" t="s">
        <v>450</v>
      </c>
      <c r="J383" s="76" t="s">
        <v>360</v>
      </c>
      <c r="K383" s="77">
        <v>43111</v>
      </c>
      <c r="L383" s="76" t="s">
        <v>385</v>
      </c>
      <c r="M383" s="76" t="s">
        <v>558</v>
      </c>
      <c r="N383" s="76">
        <v>50</v>
      </c>
      <c r="O383" s="76">
        <v>44</v>
      </c>
      <c r="P383" s="78">
        <v>0.12</v>
      </c>
    </row>
    <row r="384" spans="7:16" x14ac:dyDescent="0.3">
      <c r="G384" t="s">
        <v>1308</v>
      </c>
      <c r="H384" s="76" t="s">
        <v>615</v>
      </c>
      <c r="I384" s="76" t="s">
        <v>400</v>
      </c>
      <c r="J384" s="76" t="s">
        <v>372</v>
      </c>
      <c r="K384" s="76" t="s">
        <v>1309</v>
      </c>
      <c r="L384" s="76" t="s">
        <v>483</v>
      </c>
      <c r="M384" s="76" t="s">
        <v>617</v>
      </c>
      <c r="N384" s="76">
        <v>50</v>
      </c>
      <c r="O384" s="76">
        <v>48</v>
      </c>
      <c r="P384" s="78">
        <v>0.04</v>
      </c>
    </row>
    <row r="385" spans="7:16" x14ac:dyDescent="0.3">
      <c r="G385" t="s">
        <v>1310</v>
      </c>
      <c r="H385" s="76" t="s">
        <v>497</v>
      </c>
      <c r="I385" s="76" t="s">
        <v>445</v>
      </c>
      <c r="J385" s="76" t="s">
        <v>384</v>
      </c>
      <c r="K385" s="76" t="s">
        <v>1311</v>
      </c>
      <c r="L385" s="76" t="s">
        <v>361</v>
      </c>
      <c r="M385" s="76" t="s">
        <v>1312</v>
      </c>
      <c r="N385" s="76">
        <v>80</v>
      </c>
      <c r="O385" s="76">
        <v>72</v>
      </c>
      <c r="P385" s="78">
        <v>0.1</v>
      </c>
    </row>
    <row r="386" spans="7:16" x14ac:dyDescent="0.3">
      <c r="G386" t="s">
        <v>1313</v>
      </c>
      <c r="H386" s="76" t="s">
        <v>591</v>
      </c>
      <c r="I386" s="76" t="s">
        <v>592</v>
      </c>
      <c r="J386" s="76" t="s">
        <v>372</v>
      </c>
      <c r="K386" s="77">
        <v>42044</v>
      </c>
      <c r="L386" s="76" t="s">
        <v>483</v>
      </c>
      <c r="M386" s="76" t="s">
        <v>1112</v>
      </c>
      <c r="N386" s="76">
        <v>50</v>
      </c>
      <c r="O386" s="76">
        <v>32</v>
      </c>
      <c r="P386" s="78">
        <v>0.36</v>
      </c>
    </row>
    <row r="387" spans="7:16" x14ac:dyDescent="0.3">
      <c r="G387" t="s">
        <v>1314</v>
      </c>
      <c r="H387" s="76" t="s">
        <v>611</v>
      </c>
      <c r="I387" s="76" t="s">
        <v>389</v>
      </c>
      <c r="J387" s="76" t="s">
        <v>384</v>
      </c>
      <c r="K387" s="76" t="s">
        <v>1315</v>
      </c>
      <c r="L387" s="76" t="s">
        <v>373</v>
      </c>
      <c r="M387" s="76" t="s">
        <v>624</v>
      </c>
      <c r="N387" s="76">
        <v>700</v>
      </c>
      <c r="O387" s="76">
        <v>651</v>
      </c>
      <c r="P387" s="78">
        <v>7.0000000000000007E-2</v>
      </c>
    </row>
    <row r="388" spans="7:16" x14ac:dyDescent="0.3">
      <c r="G388" t="s">
        <v>1316</v>
      </c>
      <c r="H388" s="76" t="s">
        <v>489</v>
      </c>
      <c r="I388" s="76" t="s">
        <v>490</v>
      </c>
      <c r="J388" s="76" t="s">
        <v>360</v>
      </c>
      <c r="K388" s="77">
        <v>42799</v>
      </c>
      <c r="L388" s="76" t="s">
        <v>483</v>
      </c>
      <c r="M388" s="76" t="s">
        <v>597</v>
      </c>
      <c r="N388" s="76">
        <v>50</v>
      </c>
      <c r="O388" s="76">
        <v>49</v>
      </c>
      <c r="P388" s="78">
        <v>0.02</v>
      </c>
    </row>
    <row r="389" spans="7:16" x14ac:dyDescent="0.3">
      <c r="G389" t="s">
        <v>1317</v>
      </c>
      <c r="H389" s="76" t="s">
        <v>454</v>
      </c>
      <c r="I389" s="76" t="s">
        <v>455</v>
      </c>
      <c r="J389" s="76" t="s">
        <v>360</v>
      </c>
      <c r="K389" s="77">
        <v>43293</v>
      </c>
      <c r="L389" s="76" t="s">
        <v>396</v>
      </c>
      <c r="M389" s="76" t="s">
        <v>1318</v>
      </c>
      <c r="N389" s="76">
        <v>500</v>
      </c>
      <c r="O389" s="76">
        <v>440</v>
      </c>
      <c r="P389" s="78">
        <v>0.12</v>
      </c>
    </row>
    <row r="390" spans="7:16" x14ac:dyDescent="0.3">
      <c r="G390" t="s">
        <v>1319</v>
      </c>
      <c r="H390" s="76" t="s">
        <v>566</v>
      </c>
      <c r="I390" s="76" t="s">
        <v>567</v>
      </c>
      <c r="J390" s="76" t="s">
        <v>360</v>
      </c>
      <c r="K390" s="76" t="s">
        <v>1298</v>
      </c>
      <c r="L390" s="76" t="s">
        <v>411</v>
      </c>
      <c r="M390" s="76" t="s">
        <v>633</v>
      </c>
      <c r="N390" s="76">
        <v>1000</v>
      </c>
      <c r="O390" s="76">
        <v>680</v>
      </c>
      <c r="P390" s="78">
        <v>0.32</v>
      </c>
    </row>
    <row r="391" spans="7:16" x14ac:dyDescent="0.3">
      <c r="G391" t="s">
        <v>1320</v>
      </c>
      <c r="H391" s="76" t="s">
        <v>382</v>
      </c>
      <c r="I391" s="76" t="s">
        <v>383</v>
      </c>
      <c r="J391" s="76" t="s">
        <v>384</v>
      </c>
      <c r="K391" s="77">
        <v>42165</v>
      </c>
      <c r="L391" s="76" t="s">
        <v>373</v>
      </c>
      <c r="M391" s="76" t="s">
        <v>580</v>
      </c>
      <c r="N391" s="76">
        <v>700</v>
      </c>
      <c r="O391" s="76">
        <v>637</v>
      </c>
      <c r="P391" s="78">
        <v>0.09</v>
      </c>
    </row>
    <row r="392" spans="7:16" x14ac:dyDescent="0.3">
      <c r="G392" t="s">
        <v>1321</v>
      </c>
      <c r="H392" s="76" t="s">
        <v>473</v>
      </c>
      <c r="I392" s="76" t="s">
        <v>404</v>
      </c>
      <c r="J392" s="76" t="s">
        <v>360</v>
      </c>
      <c r="K392" s="76" t="s">
        <v>1322</v>
      </c>
      <c r="L392" s="76" t="s">
        <v>385</v>
      </c>
      <c r="M392" s="76" t="s">
        <v>950</v>
      </c>
      <c r="N392" s="76">
        <v>50</v>
      </c>
      <c r="O392" s="76">
        <v>43</v>
      </c>
      <c r="P392" s="78">
        <v>0.14000000000000001</v>
      </c>
    </row>
    <row r="393" spans="7:16" x14ac:dyDescent="0.3">
      <c r="G393" t="s">
        <v>1323</v>
      </c>
      <c r="H393" s="76" t="s">
        <v>421</v>
      </c>
      <c r="I393" s="76" t="s">
        <v>422</v>
      </c>
      <c r="J393" s="76" t="s">
        <v>384</v>
      </c>
      <c r="K393" s="76" t="s">
        <v>1324</v>
      </c>
      <c r="L393" s="76" t="s">
        <v>391</v>
      </c>
      <c r="M393" s="76" t="s">
        <v>425</v>
      </c>
      <c r="N393" s="76">
        <v>30</v>
      </c>
      <c r="O393" s="76">
        <v>29</v>
      </c>
      <c r="P393" s="78">
        <v>3.3300000000000003E-2</v>
      </c>
    </row>
    <row r="394" spans="7:16" x14ac:dyDescent="0.3">
      <c r="G394" t="s">
        <v>1325</v>
      </c>
      <c r="H394" s="76" t="s">
        <v>409</v>
      </c>
      <c r="I394" s="76" t="s">
        <v>410</v>
      </c>
      <c r="J394" s="76" t="s">
        <v>360</v>
      </c>
      <c r="K394" s="77">
        <v>42834</v>
      </c>
      <c r="L394" s="76" t="s">
        <v>385</v>
      </c>
      <c r="M394" s="76" t="s">
        <v>733</v>
      </c>
      <c r="N394" s="76">
        <v>50</v>
      </c>
      <c r="O394" s="76">
        <v>47</v>
      </c>
      <c r="P394" s="78">
        <v>0.06</v>
      </c>
    </row>
    <row r="395" spans="7:16" x14ac:dyDescent="0.3">
      <c r="G395" t="s">
        <v>1326</v>
      </c>
      <c r="H395" s="76" t="s">
        <v>591</v>
      </c>
      <c r="I395" s="76" t="s">
        <v>592</v>
      </c>
      <c r="J395" s="76" t="s">
        <v>372</v>
      </c>
      <c r="K395" s="77">
        <v>42102</v>
      </c>
      <c r="L395" s="76" t="s">
        <v>379</v>
      </c>
      <c r="M395" s="76" t="s">
        <v>1327</v>
      </c>
      <c r="N395" s="76">
        <v>150</v>
      </c>
      <c r="O395" s="76">
        <v>144</v>
      </c>
      <c r="P395" s="78">
        <v>0.04</v>
      </c>
    </row>
    <row r="396" spans="7:16" x14ac:dyDescent="0.3">
      <c r="G396" t="s">
        <v>1328</v>
      </c>
      <c r="H396" s="76" t="s">
        <v>551</v>
      </c>
      <c r="I396" s="76" t="s">
        <v>552</v>
      </c>
      <c r="J396" s="76" t="s">
        <v>360</v>
      </c>
      <c r="K396" s="76" t="s">
        <v>648</v>
      </c>
      <c r="L396" s="76" t="s">
        <v>475</v>
      </c>
      <c r="M396" s="76" t="s">
        <v>742</v>
      </c>
      <c r="N396" s="76">
        <v>250</v>
      </c>
      <c r="O396" s="76">
        <v>193</v>
      </c>
      <c r="P396" s="78">
        <v>0.22800000000000001</v>
      </c>
    </row>
    <row r="397" spans="7:16" x14ac:dyDescent="0.3">
      <c r="G397" t="s">
        <v>1329</v>
      </c>
      <c r="H397" s="76" t="s">
        <v>429</v>
      </c>
      <c r="I397" s="76" t="s">
        <v>430</v>
      </c>
      <c r="J397" s="76" t="s">
        <v>384</v>
      </c>
      <c r="K397" s="77">
        <v>42644</v>
      </c>
      <c r="L397" s="76" t="s">
        <v>405</v>
      </c>
      <c r="M397" s="76" t="s">
        <v>1330</v>
      </c>
      <c r="N397" s="76">
        <v>800</v>
      </c>
      <c r="O397" s="76">
        <v>800</v>
      </c>
      <c r="P397" s="78">
        <v>0</v>
      </c>
    </row>
    <row r="398" spans="7:16" x14ac:dyDescent="0.3">
      <c r="G398" t="s">
        <v>1331</v>
      </c>
      <c r="H398" s="76" t="s">
        <v>891</v>
      </c>
      <c r="I398" s="76" t="s">
        <v>892</v>
      </c>
      <c r="J398" s="76" t="s">
        <v>372</v>
      </c>
      <c r="K398" s="76" t="s">
        <v>1332</v>
      </c>
      <c r="L398" s="76" t="s">
        <v>373</v>
      </c>
      <c r="M398" s="76" t="s">
        <v>1333</v>
      </c>
      <c r="N398" s="76">
        <v>700</v>
      </c>
      <c r="O398" s="76">
        <v>441</v>
      </c>
      <c r="P398" s="78">
        <v>0.37</v>
      </c>
    </row>
    <row r="399" spans="7:16" x14ac:dyDescent="0.3">
      <c r="G399" t="s">
        <v>1334</v>
      </c>
      <c r="H399" s="76" t="s">
        <v>519</v>
      </c>
      <c r="I399" s="76" t="s">
        <v>520</v>
      </c>
      <c r="J399" s="76" t="s">
        <v>360</v>
      </c>
      <c r="K399" s="76" t="s">
        <v>1335</v>
      </c>
      <c r="L399" s="76" t="s">
        <v>461</v>
      </c>
      <c r="M399" s="76" t="s">
        <v>522</v>
      </c>
      <c r="N399" s="76">
        <v>70</v>
      </c>
      <c r="O399" s="76">
        <v>60</v>
      </c>
      <c r="P399" s="78">
        <v>0.1429</v>
      </c>
    </row>
    <row r="400" spans="7:16" x14ac:dyDescent="0.3">
      <c r="G400" t="s">
        <v>1336</v>
      </c>
      <c r="H400" s="76" t="s">
        <v>388</v>
      </c>
      <c r="I400" s="76" t="s">
        <v>389</v>
      </c>
      <c r="J400" s="76" t="s">
        <v>384</v>
      </c>
      <c r="K400" s="77">
        <v>43077</v>
      </c>
      <c r="L400" s="76" t="s">
        <v>396</v>
      </c>
      <c r="M400" s="76" t="s">
        <v>539</v>
      </c>
      <c r="N400" s="76">
        <v>500</v>
      </c>
      <c r="O400" s="76">
        <v>495</v>
      </c>
      <c r="P400" s="78">
        <v>0.01</v>
      </c>
    </row>
    <row r="401" spans="7:16" x14ac:dyDescent="0.3">
      <c r="G401" t="s">
        <v>1337</v>
      </c>
      <c r="H401" s="76" t="s">
        <v>566</v>
      </c>
      <c r="I401" s="76" t="s">
        <v>567</v>
      </c>
      <c r="J401" s="76" t="s">
        <v>360</v>
      </c>
      <c r="K401" s="77">
        <v>42774</v>
      </c>
      <c r="L401" s="76" t="s">
        <v>391</v>
      </c>
      <c r="M401" s="76" t="s">
        <v>867</v>
      </c>
      <c r="N401" s="76">
        <v>30</v>
      </c>
      <c r="O401" s="76">
        <v>29</v>
      </c>
      <c r="P401" s="78">
        <v>3.3300000000000003E-2</v>
      </c>
    </row>
    <row r="402" spans="7:16" x14ac:dyDescent="0.3">
      <c r="G402" t="s">
        <v>1338</v>
      </c>
      <c r="H402" s="76" t="s">
        <v>449</v>
      </c>
      <c r="I402" s="76" t="s">
        <v>450</v>
      </c>
      <c r="J402" s="76" t="s">
        <v>360</v>
      </c>
      <c r="K402" s="76" t="s">
        <v>1339</v>
      </c>
      <c r="L402" s="76" t="s">
        <v>391</v>
      </c>
      <c r="M402" s="76" t="s">
        <v>1340</v>
      </c>
      <c r="N402" s="76">
        <v>30</v>
      </c>
      <c r="O402" s="76">
        <v>29</v>
      </c>
      <c r="P402" s="78">
        <v>3.3300000000000003E-2</v>
      </c>
    </row>
    <row r="403" spans="7:16" x14ac:dyDescent="0.3">
      <c r="G403" t="s">
        <v>1341</v>
      </c>
      <c r="H403" s="76" t="s">
        <v>519</v>
      </c>
      <c r="I403" s="76" t="s">
        <v>520</v>
      </c>
      <c r="J403" s="76" t="s">
        <v>360</v>
      </c>
      <c r="K403" s="76" t="s">
        <v>1342</v>
      </c>
      <c r="L403" s="76" t="s">
        <v>424</v>
      </c>
      <c r="M403" s="76" t="s">
        <v>1343</v>
      </c>
      <c r="N403" s="76">
        <v>500</v>
      </c>
      <c r="O403" s="76">
        <v>500</v>
      </c>
      <c r="P403" s="78">
        <v>0</v>
      </c>
    </row>
    <row r="404" spans="7:16" x14ac:dyDescent="0.3">
      <c r="G404" t="s">
        <v>1344</v>
      </c>
      <c r="H404" s="76" t="s">
        <v>551</v>
      </c>
      <c r="I404" s="76" t="s">
        <v>552</v>
      </c>
      <c r="J404" s="76" t="s">
        <v>360</v>
      </c>
      <c r="K404" s="76" t="s">
        <v>1345</v>
      </c>
      <c r="L404" s="76" t="s">
        <v>411</v>
      </c>
      <c r="M404" s="76" t="s">
        <v>1125</v>
      </c>
      <c r="N404" s="76">
        <v>1000</v>
      </c>
      <c r="O404" s="76">
        <v>510</v>
      </c>
      <c r="P404" s="78">
        <v>0.49</v>
      </c>
    </row>
    <row r="405" spans="7:16" x14ac:dyDescent="0.3">
      <c r="G405" t="s">
        <v>1346</v>
      </c>
      <c r="H405" s="76" t="s">
        <v>615</v>
      </c>
      <c r="I405" s="76" t="s">
        <v>400</v>
      </c>
      <c r="J405" s="76" t="s">
        <v>372</v>
      </c>
      <c r="K405" s="77">
        <v>42313</v>
      </c>
      <c r="L405" s="76" t="s">
        <v>405</v>
      </c>
      <c r="M405" s="76" t="s">
        <v>1347</v>
      </c>
      <c r="N405" s="76">
        <v>800</v>
      </c>
      <c r="O405" s="76">
        <v>488</v>
      </c>
      <c r="P405" s="78">
        <v>0.39</v>
      </c>
    </row>
    <row r="406" spans="7:16" x14ac:dyDescent="0.3">
      <c r="G406" t="s">
        <v>1348</v>
      </c>
      <c r="H406" s="76" t="s">
        <v>364</v>
      </c>
      <c r="I406" s="76" t="s">
        <v>365</v>
      </c>
      <c r="J406" s="76" t="s">
        <v>366</v>
      </c>
      <c r="K406" s="76" t="s">
        <v>1349</v>
      </c>
      <c r="L406" s="76" t="s">
        <v>385</v>
      </c>
      <c r="M406" s="76" t="s">
        <v>1350</v>
      </c>
      <c r="N406" s="76">
        <v>50</v>
      </c>
      <c r="O406" s="76">
        <v>49</v>
      </c>
      <c r="P406" s="78">
        <v>0.02</v>
      </c>
    </row>
    <row r="407" spans="7:16" x14ac:dyDescent="0.3">
      <c r="G407" t="s">
        <v>1351</v>
      </c>
      <c r="H407" s="76" t="s">
        <v>656</v>
      </c>
      <c r="I407" s="76" t="s">
        <v>657</v>
      </c>
      <c r="J407" s="76" t="s">
        <v>360</v>
      </c>
      <c r="K407" s="77">
        <v>42922</v>
      </c>
      <c r="L407" s="76" t="s">
        <v>361</v>
      </c>
      <c r="M407" s="76" t="s">
        <v>1010</v>
      </c>
      <c r="N407" s="76">
        <v>80</v>
      </c>
      <c r="O407" s="76">
        <v>78</v>
      </c>
      <c r="P407" s="78">
        <v>2.5000000000000001E-2</v>
      </c>
    </row>
    <row r="408" spans="7:16" x14ac:dyDescent="0.3">
      <c r="G408" t="s">
        <v>1352</v>
      </c>
      <c r="H408" s="76" t="s">
        <v>638</v>
      </c>
      <c r="I408" s="76" t="s">
        <v>639</v>
      </c>
      <c r="J408" s="76" t="s">
        <v>360</v>
      </c>
      <c r="K408" s="76" t="s">
        <v>979</v>
      </c>
      <c r="L408" s="76" t="s">
        <v>483</v>
      </c>
      <c r="M408" s="76" t="s">
        <v>1353</v>
      </c>
      <c r="N408" s="76">
        <v>50</v>
      </c>
      <c r="O408" s="76">
        <v>48</v>
      </c>
      <c r="P408" s="78">
        <v>0.04</v>
      </c>
    </row>
    <row r="409" spans="7:16" x14ac:dyDescent="0.3">
      <c r="G409" t="s">
        <v>1354</v>
      </c>
      <c r="H409" s="76" t="s">
        <v>409</v>
      </c>
      <c r="I409" s="76" t="s">
        <v>410</v>
      </c>
      <c r="J409" s="76" t="s">
        <v>360</v>
      </c>
      <c r="K409" s="76" t="s">
        <v>1355</v>
      </c>
      <c r="L409" s="76" t="s">
        <v>483</v>
      </c>
      <c r="M409" s="76" t="s">
        <v>1356</v>
      </c>
      <c r="N409" s="76">
        <v>50</v>
      </c>
      <c r="O409" s="76">
        <v>50</v>
      </c>
      <c r="P409" s="78">
        <v>0</v>
      </c>
    </row>
    <row r="410" spans="7:16" x14ac:dyDescent="0.3">
      <c r="G410" t="s">
        <v>1357</v>
      </c>
      <c r="H410" s="76" t="s">
        <v>414</v>
      </c>
      <c r="I410" s="76" t="s">
        <v>415</v>
      </c>
      <c r="J410" s="76" t="s">
        <v>384</v>
      </c>
      <c r="K410" s="76" t="s">
        <v>1358</v>
      </c>
      <c r="L410" s="76" t="s">
        <v>475</v>
      </c>
      <c r="M410" s="76" t="s">
        <v>1359</v>
      </c>
      <c r="N410" s="76">
        <v>250</v>
      </c>
      <c r="O410" s="76">
        <v>250</v>
      </c>
      <c r="P410" s="78">
        <v>0</v>
      </c>
    </row>
    <row r="411" spans="7:16" x14ac:dyDescent="0.3">
      <c r="G411" t="s">
        <v>1360</v>
      </c>
      <c r="H411" s="76" t="s">
        <v>438</v>
      </c>
      <c r="I411" s="76" t="s">
        <v>439</v>
      </c>
      <c r="J411" s="76" t="s">
        <v>360</v>
      </c>
      <c r="K411" s="77">
        <v>42558</v>
      </c>
      <c r="L411" s="76" t="s">
        <v>461</v>
      </c>
      <c r="M411" s="76" t="s">
        <v>1091</v>
      </c>
      <c r="N411" s="76">
        <v>70</v>
      </c>
      <c r="O411" s="76">
        <v>67</v>
      </c>
      <c r="P411" s="78">
        <v>4.2900000000000001E-2</v>
      </c>
    </row>
    <row r="412" spans="7:16" x14ac:dyDescent="0.3">
      <c r="G412" t="s">
        <v>1361</v>
      </c>
      <c r="H412" s="76" t="s">
        <v>382</v>
      </c>
      <c r="I412" s="76" t="s">
        <v>383</v>
      </c>
      <c r="J412" s="76" t="s">
        <v>384</v>
      </c>
      <c r="K412" s="77">
        <v>43318</v>
      </c>
      <c r="L412" s="76" t="s">
        <v>373</v>
      </c>
      <c r="M412" s="76" t="s">
        <v>386</v>
      </c>
      <c r="N412" s="76">
        <v>700</v>
      </c>
      <c r="O412" s="76">
        <v>693</v>
      </c>
      <c r="P412" s="78">
        <v>0.01</v>
      </c>
    </row>
    <row r="413" spans="7:16" x14ac:dyDescent="0.3">
      <c r="G413" t="s">
        <v>1362</v>
      </c>
      <c r="H413" s="76" t="s">
        <v>388</v>
      </c>
      <c r="I413" s="76" t="s">
        <v>389</v>
      </c>
      <c r="J413" s="76" t="s">
        <v>384</v>
      </c>
      <c r="K413" s="76" t="s">
        <v>1363</v>
      </c>
      <c r="L413" s="76" t="s">
        <v>391</v>
      </c>
      <c r="M413" s="76" t="s">
        <v>603</v>
      </c>
      <c r="N413" s="76">
        <v>30</v>
      </c>
      <c r="O413" s="76">
        <v>27</v>
      </c>
      <c r="P413" s="78">
        <v>0.1</v>
      </c>
    </row>
    <row r="414" spans="7:16" x14ac:dyDescent="0.3">
      <c r="G414" t="s">
        <v>1364</v>
      </c>
      <c r="H414" s="76" t="s">
        <v>551</v>
      </c>
      <c r="I414" s="76" t="s">
        <v>552</v>
      </c>
      <c r="J414" s="76" t="s">
        <v>360</v>
      </c>
      <c r="K414" s="76" t="s">
        <v>1365</v>
      </c>
      <c r="L414" s="76" t="s">
        <v>385</v>
      </c>
      <c r="M414" s="76" t="s">
        <v>1366</v>
      </c>
      <c r="N414" s="76">
        <v>50</v>
      </c>
      <c r="O414" s="76">
        <v>49</v>
      </c>
      <c r="P414" s="78">
        <v>0.02</v>
      </c>
    </row>
    <row r="415" spans="7:16" x14ac:dyDescent="0.3">
      <c r="G415" t="s">
        <v>1367</v>
      </c>
      <c r="H415" s="76" t="s">
        <v>376</v>
      </c>
      <c r="I415" s="76" t="s">
        <v>377</v>
      </c>
      <c r="J415" s="76" t="s">
        <v>360</v>
      </c>
      <c r="K415" s="77">
        <v>42069</v>
      </c>
      <c r="L415" s="76" t="s">
        <v>405</v>
      </c>
      <c r="M415" s="76" t="s">
        <v>906</v>
      </c>
      <c r="N415" s="76">
        <v>800</v>
      </c>
      <c r="O415" s="76">
        <v>664</v>
      </c>
      <c r="P415" s="78">
        <v>0.17</v>
      </c>
    </row>
    <row r="416" spans="7:16" x14ac:dyDescent="0.3">
      <c r="G416" t="s">
        <v>1368</v>
      </c>
      <c r="H416" s="76" t="s">
        <v>566</v>
      </c>
      <c r="I416" s="76" t="s">
        <v>567</v>
      </c>
      <c r="J416" s="76" t="s">
        <v>360</v>
      </c>
      <c r="K416" s="76" t="s">
        <v>1369</v>
      </c>
      <c r="L416" s="76" t="s">
        <v>405</v>
      </c>
      <c r="M416" s="76" t="s">
        <v>1370</v>
      </c>
      <c r="N416" s="76">
        <v>800</v>
      </c>
      <c r="O416" s="76">
        <v>648</v>
      </c>
      <c r="P416" s="78">
        <v>0.19</v>
      </c>
    </row>
    <row r="417" spans="7:16" x14ac:dyDescent="0.3">
      <c r="G417" t="s">
        <v>1371</v>
      </c>
      <c r="H417" s="76" t="s">
        <v>494</v>
      </c>
      <c r="I417" s="76" t="s">
        <v>465</v>
      </c>
      <c r="J417" s="76" t="s">
        <v>366</v>
      </c>
      <c r="K417" s="76" t="s">
        <v>1372</v>
      </c>
      <c r="L417" s="76" t="s">
        <v>391</v>
      </c>
      <c r="M417" s="76" t="s">
        <v>1373</v>
      </c>
      <c r="N417" s="76">
        <v>30</v>
      </c>
      <c r="O417" s="76">
        <v>29</v>
      </c>
      <c r="P417" s="78">
        <v>3.3300000000000003E-2</v>
      </c>
    </row>
    <row r="418" spans="7:16" x14ac:dyDescent="0.3">
      <c r="G418" t="s">
        <v>1374</v>
      </c>
      <c r="H418" s="76" t="s">
        <v>403</v>
      </c>
      <c r="I418" s="76" t="s">
        <v>404</v>
      </c>
      <c r="J418" s="76" t="s">
        <v>360</v>
      </c>
      <c r="K418" s="76" t="s">
        <v>1203</v>
      </c>
      <c r="L418" s="76" t="s">
        <v>396</v>
      </c>
      <c r="M418" s="76" t="s">
        <v>1375</v>
      </c>
      <c r="N418" s="76">
        <v>500</v>
      </c>
      <c r="O418" s="76">
        <v>475</v>
      </c>
      <c r="P418" s="78">
        <v>0.05</v>
      </c>
    </row>
    <row r="419" spans="7:16" x14ac:dyDescent="0.3">
      <c r="G419" t="s">
        <v>1376</v>
      </c>
      <c r="H419" s="76" t="s">
        <v>566</v>
      </c>
      <c r="I419" s="76" t="s">
        <v>567</v>
      </c>
      <c r="J419" s="76" t="s">
        <v>360</v>
      </c>
      <c r="K419" s="76" t="s">
        <v>1377</v>
      </c>
      <c r="L419" s="76" t="s">
        <v>424</v>
      </c>
      <c r="M419" s="76" t="s">
        <v>1378</v>
      </c>
      <c r="N419" s="76">
        <v>500</v>
      </c>
      <c r="O419" s="76">
        <v>495</v>
      </c>
      <c r="P419" s="78">
        <v>0.01</v>
      </c>
    </row>
    <row r="420" spans="7:16" x14ac:dyDescent="0.3">
      <c r="G420" t="s">
        <v>1379</v>
      </c>
      <c r="H420" s="76" t="s">
        <v>358</v>
      </c>
      <c r="I420" s="76" t="s">
        <v>359</v>
      </c>
      <c r="J420" s="76" t="s">
        <v>360</v>
      </c>
      <c r="K420" s="76" t="s">
        <v>1380</v>
      </c>
      <c r="L420" s="76" t="s">
        <v>411</v>
      </c>
      <c r="M420" s="76" t="s">
        <v>683</v>
      </c>
      <c r="N420" s="76">
        <v>1000</v>
      </c>
      <c r="O420" s="76">
        <v>580</v>
      </c>
      <c r="P420" s="78">
        <v>0.42</v>
      </c>
    </row>
    <row r="421" spans="7:16" x14ac:dyDescent="0.3">
      <c r="G421" t="s">
        <v>1381</v>
      </c>
      <c r="H421" s="76" t="s">
        <v>656</v>
      </c>
      <c r="I421" s="76" t="s">
        <v>657</v>
      </c>
      <c r="J421" s="76" t="s">
        <v>360</v>
      </c>
      <c r="K421" s="76" t="s">
        <v>1382</v>
      </c>
      <c r="L421" s="76" t="s">
        <v>483</v>
      </c>
      <c r="M421" s="76" t="s">
        <v>1383</v>
      </c>
      <c r="N421" s="76">
        <v>50</v>
      </c>
      <c r="O421" s="76">
        <v>47</v>
      </c>
      <c r="P421" s="78">
        <v>0.06</v>
      </c>
    </row>
    <row r="422" spans="7:16" x14ac:dyDescent="0.3">
      <c r="G422" t="s">
        <v>1384</v>
      </c>
      <c r="H422" s="76" t="s">
        <v>668</v>
      </c>
      <c r="I422" s="76" t="s">
        <v>669</v>
      </c>
      <c r="J422" s="76" t="s">
        <v>360</v>
      </c>
      <c r="K422" s="77">
        <v>42129</v>
      </c>
      <c r="L422" s="76" t="s">
        <v>461</v>
      </c>
      <c r="M422" s="76" t="s">
        <v>1385</v>
      </c>
      <c r="N422" s="76">
        <v>70</v>
      </c>
      <c r="O422" s="76">
        <v>48</v>
      </c>
      <c r="P422" s="78">
        <v>0.31430000000000002</v>
      </c>
    </row>
    <row r="423" spans="7:16" x14ac:dyDescent="0.3">
      <c r="G423" t="s">
        <v>1386</v>
      </c>
      <c r="H423" s="76" t="s">
        <v>566</v>
      </c>
      <c r="I423" s="76" t="s">
        <v>567</v>
      </c>
      <c r="J423" s="76" t="s">
        <v>360</v>
      </c>
      <c r="K423" s="77">
        <v>42281</v>
      </c>
      <c r="L423" s="76" t="s">
        <v>411</v>
      </c>
      <c r="M423" s="76" t="s">
        <v>1302</v>
      </c>
      <c r="N423" s="76">
        <v>1000</v>
      </c>
      <c r="O423" s="76">
        <v>750</v>
      </c>
      <c r="P423" s="78">
        <v>0.25</v>
      </c>
    </row>
    <row r="424" spans="7:16" x14ac:dyDescent="0.3">
      <c r="G424" t="s">
        <v>1387</v>
      </c>
      <c r="H424" s="76" t="s">
        <v>656</v>
      </c>
      <c r="I424" s="76" t="s">
        <v>657</v>
      </c>
      <c r="J424" s="76" t="s">
        <v>360</v>
      </c>
      <c r="K424" s="76" t="s">
        <v>1388</v>
      </c>
      <c r="L424" s="76" t="s">
        <v>391</v>
      </c>
      <c r="M424" s="76" t="s">
        <v>1389</v>
      </c>
      <c r="N424" s="76">
        <v>30</v>
      </c>
      <c r="O424" s="76">
        <v>25</v>
      </c>
      <c r="P424" s="78">
        <v>0.16669999999999999</v>
      </c>
    </row>
    <row r="425" spans="7:16" x14ac:dyDescent="0.3">
      <c r="G425" t="s">
        <v>1390</v>
      </c>
      <c r="H425" s="76" t="s">
        <v>497</v>
      </c>
      <c r="I425" s="76" t="s">
        <v>445</v>
      </c>
      <c r="J425" s="76" t="s">
        <v>384</v>
      </c>
      <c r="K425" s="76" t="s">
        <v>1391</v>
      </c>
      <c r="L425" s="76" t="s">
        <v>391</v>
      </c>
      <c r="M425" s="76" t="s">
        <v>1392</v>
      </c>
      <c r="N425" s="76">
        <v>30</v>
      </c>
      <c r="O425" s="76">
        <v>27</v>
      </c>
      <c r="P425" s="78">
        <v>0.1</v>
      </c>
    </row>
    <row r="426" spans="7:16" x14ac:dyDescent="0.3">
      <c r="G426" t="s">
        <v>1393</v>
      </c>
      <c r="H426" s="76" t="s">
        <v>675</v>
      </c>
      <c r="I426" s="76" t="s">
        <v>676</v>
      </c>
      <c r="J426" s="76" t="s">
        <v>384</v>
      </c>
      <c r="K426" s="76" t="s">
        <v>1394</v>
      </c>
      <c r="L426" s="76" t="s">
        <v>424</v>
      </c>
      <c r="M426" s="76" t="s">
        <v>1395</v>
      </c>
      <c r="N426" s="76">
        <v>500</v>
      </c>
      <c r="O426" s="76">
        <v>490</v>
      </c>
      <c r="P426" s="78">
        <v>0.02</v>
      </c>
    </row>
    <row r="427" spans="7:16" x14ac:dyDescent="0.3">
      <c r="G427" t="s">
        <v>1396</v>
      </c>
      <c r="H427" s="76" t="s">
        <v>464</v>
      </c>
      <c r="I427" s="76" t="s">
        <v>465</v>
      </c>
      <c r="J427" s="76" t="s">
        <v>366</v>
      </c>
      <c r="K427" s="76" t="s">
        <v>1397</v>
      </c>
      <c r="L427" s="76" t="s">
        <v>424</v>
      </c>
      <c r="M427" s="76" t="s">
        <v>467</v>
      </c>
      <c r="N427" s="76">
        <v>500</v>
      </c>
      <c r="O427" s="76">
        <v>500</v>
      </c>
      <c r="P427" s="78">
        <v>0</v>
      </c>
    </row>
    <row r="428" spans="7:16" x14ac:dyDescent="0.3">
      <c r="G428" t="s">
        <v>1398</v>
      </c>
      <c r="H428" s="76" t="s">
        <v>489</v>
      </c>
      <c r="I428" s="76" t="s">
        <v>490</v>
      </c>
      <c r="J428" s="76" t="s">
        <v>360</v>
      </c>
      <c r="K428" s="77">
        <v>41736</v>
      </c>
      <c r="L428" s="76" t="s">
        <v>424</v>
      </c>
      <c r="M428" s="76" t="s">
        <v>597</v>
      </c>
      <c r="N428" s="76">
        <v>500</v>
      </c>
      <c r="O428" s="76">
        <v>495</v>
      </c>
      <c r="P428" s="78">
        <v>0.01</v>
      </c>
    </row>
    <row r="429" spans="7:16" x14ac:dyDescent="0.3">
      <c r="G429" t="s">
        <v>1399</v>
      </c>
      <c r="H429" s="76" t="s">
        <v>891</v>
      </c>
      <c r="I429" s="76" t="s">
        <v>892</v>
      </c>
      <c r="J429" s="76" t="s">
        <v>372</v>
      </c>
      <c r="K429" s="76" t="s">
        <v>1400</v>
      </c>
      <c r="L429" s="76" t="s">
        <v>379</v>
      </c>
      <c r="M429" s="76" t="s">
        <v>1046</v>
      </c>
      <c r="N429" s="76">
        <v>150</v>
      </c>
      <c r="O429" s="76">
        <v>119</v>
      </c>
      <c r="P429" s="78">
        <v>0.20669999999999999</v>
      </c>
    </row>
    <row r="430" spans="7:16" x14ac:dyDescent="0.3">
      <c r="G430" t="s">
        <v>1401</v>
      </c>
      <c r="H430" s="76" t="s">
        <v>403</v>
      </c>
      <c r="I430" s="76" t="s">
        <v>404</v>
      </c>
      <c r="J430" s="76" t="s">
        <v>360</v>
      </c>
      <c r="K430" s="76" t="s">
        <v>1402</v>
      </c>
      <c r="L430" s="76" t="s">
        <v>361</v>
      </c>
      <c r="M430" s="76" t="s">
        <v>1403</v>
      </c>
      <c r="N430" s="76">
        <v>80</v>
      </c>
      <c r="O430" s="76">
        <v>79</v>
      </c>
      <c r="P430" s="78">
        <v>1.2500000000000001E-2</v>
      </c>
    </row>
    <row r="431" spans="7:16" x14ac:dyDescent="0.3">
      <c r="G431" t="s">
        <v>1404</v>
      </c>
      <c r="H431" s="76" t="s">
        <v>845</v>
      </c>
      <c r="I431" s="76" t="s">
        <v>846</v>
      </c>
      <c r="J431" s="76" t="s">
        <v>360</v>
      </c>
      <c r="K431" s="77">
        <v>42866</v>
      </c>
      <c r="L431" s="76" t="s">
        <v>379</v>
      </c>
      <c r="M431" s="76" t="s">
        <v>848</v>
      </c>
      <c r="N431" s="76">
        <v>150</v>
      </c>
      <c r="O431" s="76">
        <v>99</v>
      </c>
      <c r="P431" s="78">
        <v>0.34</v>
      </c>
    </row>
    <row r="432" spans="7:16" x14ac:dyDescent="0.3">
      <c r="G432" t="s">
        <v>1405</v>
      </c>
      <c r="H432" s="76" t="s">
        <v>464</v>
      </c>
      <c r="I432" s="76" t="s">
        <v>465</v>
      </c>
      <c r="J432" s="76" t="s">
        <v>366</v>
      </c>
      <c r="K432" s="76" t="s">
        <v>1406</v>
      </c>
      <c r="L432" s="76" t="s">
        <v>396</v>
      </c>
      <c r="M432" s="76" t="s">
        <v>1407</v>
      </c>
      <c r="N432" s="76">
        <v>500</v>
      </c>
      <c r="O432" s="76">
        <v>425</v>
      </c>
      <c r="P432" s="78">
        <v>0.15</v>
      </c>
    </row>
    <row r="433" spans="7:16" x14ac:dyDescent="0.3">
      <c r="G433" t="s">
        <v>1408</v>
      </c>
      <c r="H433" s="76" t="s">
        <v>638</v>
      </c>
      <c r="I433" s="76" t="s">
        <v>639</v>
      </c>
      <c r="J433" s="76" t="s">
        <v>360</v>
      </c>
      <c r="K433" s="76" t="s">
        <v>1409</v>
      </c>
      <c r="L433" s="76" t="s">
        <v>411</v>
      </c>
      <c r="M433" s="76" t="s">
        <v>1353</v>
      </c>
      <c r="N433" s="76">
        <v>1000</v>
      </c>
      <c r="O433" s="76">
        <v>810</v>
      </c>
      <c r="P433" s="78">
        <v>0.19</v>
      </c>
    </row>
    <row r="434" spans="7:16" x14ac:dyDescent="0.3">
      <c r="G434" t="s">
        <v>1410</v>
      </c>
      <c r="H434" s="76" t="s">
        <v>469</v>
      </c>
      <c r="I434" s="76" t="s">
        <v>435</v>
      </c>
      <c r="J434" s="76" t="s">
        <v>360</v>
      </c>
      <c r="K434" s="77">
        <v>43165</v>
      </c>
      <c r="L434" s="76" t="s">
        <v>475</v>
      </c>
      <c r="M434" s="76" t="s">
        <v>1411</v>
      </c>
      <c r="N434" s="76">
        <v>250</v>
      </c>
      <c r="O434" s="76">
        <v>245</v>
      </c>
      <c r="P434" s="78">
        <v>0.02</v>
      </c>
    </row>
    <row r="435" spans="7:16" x14ac:dyDescent="0.3">
      <c r="G435" t="s">
        <v>1412</v>
      </c>
      <c r="H435" s="76" t="s">
        <v>403</v>
      </c>
      <c r="I435" s="76" t="s">
        <v>404</v>
      </c>
      <c r="J435" s="76" t="s">
        <v>360</v>
      </c>
      <c r="K435" s="76" t="s">
        <v>1413</v>
      </c>
      <c r="L435" s="76" t="s">
        <v>483</v>
      </c>
      <c r="M435" s="76" t="s">
        <v>1414</v>
      </c>
      <c r="N435" s="76">
        <v>50</v>
      </c>
      <c r="O435" s="76">
        <v>50</v>
      </c>
      <c r="P435" s="78">
        <v>0</v>
      </c>
    </row>
    <row r="436" spans="7:16" x14ac:dyDescent="0.3">
      <c r="G436" t="s">
        <v>1415</v>
      </c>
      <c r="H436" s="76" t="s">
        <v>519</v>
      </c>
      <c r="I436" s="76" t="s">
        <v>520</v>
      </c>
      <c r="J436" s="76" t="s">
        <v>360</v>
      </c>
      <c r="K436" s="76" t="s">
        <v>1152</v>
      </c>
      <c r="L436" s="76" t="s">
        <v>475</v>
      </c>
      <c r="M436" s="76" t="s">
        <v>1416</v>
      </c>
      <c r="N436" s="76">
        <v>250</v>
      </c>
      <c r="O436" s="76">
        <v>235</v>
      </c>
      <c r="P436" s="78">
        <v>0.06</v>
      </c>
    </row>
    <row r="437" spans="7:16" x14ac:dyDescent="0.3">
      <c r="G437" t="s">
        <v>1417</v>
      </c>
      <c r="H437" s="76" t="s">
        <v>469</v>
      </c>
      <c r="I437" s="76" t="s">
        <v>435</v>
      </c>
      <c r="J437" s="76" t="s">
        <v>360</v>
      </c>
      <c r="K437" s="76" t="s">
        <v>1418</v>
      </c>
      <c r="L437" s="76" t="s">
        <v>475</v>
      </c>
      <c r="M437" s="76" t="s">
        <v>1419</v>
      </c>
      <c r="N437" s="76">
        <v>250</v>
      </c>
      <c r="O437" s="76">
        <v>240</v>
      </c>
      <c r="P437" s="78">
        <v>0.04</v>
      </c>
    </row>
    <row r="438" spans="7:16" x14ac:dyDescent="0.3">
      <c r="G438" t="s">
        <v>1420</v>
      </c>
      <c r="H438" s="76" t="s">
        <v>891</v>
      </c>
      <c r="I438" s="76" t="s">
        <v>892</v>
      </c>
      <c r="J438" s="76" t="s">
        <v>372</v>
      </c>
      <c r="K438" s="76" t="s">
        <v>1171</v>
      </c>
      <c r="L438" s="76" t="s">
        <v>461</v>
      </c>
      <c r="M438" s="76" t="s">
        <v>1421</v>
      </c>
      <c r="N438" s="76">
        <v>70</v>
      </c>
      <c r="O438" s="76">
        <v>69</v>
      </c>
      <c r="P438" s="78">
        <v>1.43E-2</v>
      </c>
    </row>
    <row r="439" spans="7:16" x14ac:dyDescent="0.3">
      <c r="G439" t="s">
        <v>1422</v>
      </c>
      <c r="H439" s="76" t="s">
        <v>514</v>
      </c>
      <c r="I439" s="76" t="s">
        <v>515</v>
      </c>
      <c r="J439" s="76" t="s">
        <v>360</v>
      </c>
      <c r="K439" s="76" t="s">
        <v>1423</v>
      </c>
      <c r="L439" s="76" t="s">
        <v>461</v>
      </c>
      <c r="M439" s="76" t="s">
        <v>1424</v>
      </c>
      <c r="N439" s="76">
        <v>70</v>
      </c>
      <c r="O439" s="76">
        <v>67</v>
      </c>
      <c r="P439" s="78">
        <v>4.2900000000000001E-2</v>
      </c>
    </row>
    <row r="440" spans="7:16" x14ac:dyDescent="0.3">
      <c r="G440" t="s">
        <v>1425</v>
      </c>
      <c r="H440" s="76" t="s">
        <v>668</v>
      </c>
      <c r="I440" s="76" t="s">
        <v>669</v>
      </c>
      <c r="J440" s="76" t="s">
        <v>360</v>
      </c>
      <c r="K440" s="76" t="s">
        <v>1293</v>
      </c>
      <c r="L440" s="76" t="s">
        <v>385</v>
      </c>
      <c r="M440" s="76" t="s">
        <v>736</v>
      </c>
      <c r="N440" s="76">
        <v>50</v>
      </c>
      <c r="O440" s="76">
        <v>49</v>
      </c>
      <c r="P440" s="78">
        <v>0.02</v>
      </c>
    </row>
    <row r="441" spans="7:16" x14ac:dyDescent="0.3">
      <c r="G441" t="s">
        <v>1426</v>
      </c>
      <c r="H441" s="76" t="s">
        <v>438</v>
      </c>
      <c r="I441" s="76" t="s">
        <v>439</v>
      </c>
      <c r="J441" s="76" t="s">
        <v>360</v>
      </c>
      <c r="K441" s="77">
        <v>42013</v>
      </c>
      <c r="L441" s="76" t="s">
        <v>379</v>
      </c>
      <c r="M441" s="76" t="s">
        <v>440</v>
      </c>
      <c r="N441" s="76">
        <v>150</v>
      </c>
      <c r="O441" s="76">
        <v>98</v>
      </c>
      <c r="P441" s="78">
        <v>0.34670000000000001</v>
      </c>
    </row>
    <row r="442" spans="7:16" x14ac:dyDescent="0.3">
      <c r="G442" t="s">
        <v>1427</v>
      </c>
      <c r="H442" s="76" t="s">
        <v>459</v>
      </c>
      <c r="I442" s="76" t="s">
        <v>422</v>
      </c>
      <c r="J442" s="76" t="s">
        <v>384</v>
      </c>
      <c r="K442" s="76" t="s">
        <v>1428</v>
      </c>
      <c r="L442" s="76" t="s">
        <v>385</v>
      </c>
      <c r="M442" s="76" t="s">
        <v>462</v>
      </c>
      <c r="N442" s="76">
        <v>50</v>
      </c>
      <c r="O442" s="76">
        <v>50</v>
      </c>
      <c r="P442" s="78">
        <v>0</v>
      </c>
    </row>
    <row r="443" spans="7:16" x14ac:dyDescent="0.3">
      <c r="G443" t="s">
        <v>1429</v>
      </c>
      <c r="H443" s="76" t="s">
        <v>615</v>
      </c>
      <c r="I443" s="76" t="s">
        <v>400</v>
      </c>
      <c r="J443" s="76" t="s">
        <v>372</v>
      </c>
      <c r="K443" s="76" t="s">
        <v>1430</v>
      </c>
      <c r="L443" s="76" t="s">
        <v>424</v>
      </c>
      <c r="M443" s="76" t="s">
        <v>1291</v>
      </c>
      <c r="N443" s="76">
        <v>500</v>
      </c>
      <c r="O443" s="76">
        <v>495</v>
      </c>
      <c r="P443" s="78">
        <v>0.01</v>
      </c>
    </row>
    <row r="444" spans="7:16" x14ac:dyDescent="0.3">
      <c r="G444" t="s">
        <v>1431</v>
      </c>
      <c r="H444" s="76" t="s">
        <v>619</v>
      </c>
      <c r="I444" s="76" t="s">
        <v>620</v>
      </c>
      <c r="J444" s="76" t="s">
        <v>372</v>
      </c>
      <c r="K444" s="76" t="s">
        <v>1432</v>
      </c>
      <c r="L444" s="76" t="s">
        <v>461</v>
      </c>
      <c r="M444" s="76" t="s">
        <v>1433</v>
      </c>
      <c r="N444" s="76">
        <v>70</v>
      </c>
      <c r="O444" s="76">
        <v>54</v>
      </c>
      <c r="P444" s="78">
        <v>0.2286</v>
      </c>
    </row>
    <row r="445" spans="7:16" x14ac:dyDescent="0.3">
      <c r="G445" t="s">
        <v>1434</v>
      </c>
      <c r="H445" s="76" t="s">
        <v>524</v>
      </c>
      <c r="I445" s="76" t="s">
        <v>465</v>
      </c>
      <c r="J445" s="76" t="s">
        <v>366</v>
      </c>
      <c r="K445" s="76" t="s">
        <v>1435</v>
      </c>
      <c r="L445" s="76" t="s">
        <v>396</v>
      </c>
      <c r="M445" s="76" t="s">
        <v>969</v>
      </c>
      <c r="N445" s="76">
        <v>500</v>
      </c>
      <c r="O445" s="76">
        <v>485</v>
      </c>
      <c r="P445" s="78">
        <v>0.03</v>
      </c>
    </row>
    <row r="446" spans="7:16" x14ac:dyDescent="0.3">
      <c r="G446" t="s">
        <v>1436</v>
      </c>
      <c r="H446" s="76" t="s">
        <v>700</v>
      </c>
      <c r="I446" s="76" t="s">
        <v>465</v>
      </c>
      <c r="J446" s="76" t="s">
        <v>366</v>
      </c>
      <c r="K446" s="76" t="s">
        <v>1437</v>
      </c>
      <c r="L446" s="76" t="s">
        <v>361</v>
      </c>
      <c r="M446" s="76" t="s">
        <v>956</v>
      </c>
      <c r="N446" s="76">
        <v>80</v>
      </c>
      <c r="O446" s="76">
        <v>78</v>
      </c>
      <c r="P446" s="78">
        <v>2.5000000000000001E-2</v>
      </c>
    </row>
    <row r="447" spans="7:16" x14ac:dyDescent="0.3">
      <c r="G447" t="s">
        <v>1438</v>
      </c>
      <c r="H447" s="76" t="s">
        <v>399</v>
      </c>
      <c r="I447" s="76" t="s">
        <v>400</v>
      </c>
      <c r="J447" s="76" t="s">
        <v>372</v>
      </c>
      <c r="K447" s="77">
        <v>43228</v>
      </c>
      <c r="L447" s="76" t="s">
        <v>405</v>
      </c>
      <c r="M447" s="76" t="s">
        <v>1286</v>
      </c>
      <c r="N447" s="76">
        <v>800</v>
      </c>
      <c r="O447" s="76">
        <v>712</v>
      </c>
      <c r="P447" s="78">
        <v>0.11</v>
      </c>
    </row>
    <row r="448" spans="7:16" x14ac:dyDescent="0.3">
      <c r="G448" t="s">
        <v>1439</v>
      </c>
      <c r="H448" s="76" t="s">
        <v>409</v>
      </c>
      <c r="I448" s="76" t="s">
        <v>410</v>
      </c>
      <c r="J448" s="76" t="s">
        <v>360</v>
      </c>
      <c r="K448" s="77">
        <v>42227</v>
      </c>
      <c r="L448" s="76" t="s">
        <v>379</v>
      </c>
      <c r="M448" s="76" t="s">
        <v>1440</v>
      </c>
      <c r="N448" s="76">
        <v>150</v>
      </c>
      <c r="O448" s="76">
        <v>93</v>
      </c>
      <c r="P448" s="78">
        <v>0.38</v>
      </c>
    </row>
    <row r="449" spans="7:16" x14ac:dyDescent="0.3">
      <c r="G449" t="s">
        <v>1441</v>
      </c>
      <c r="H449" s="76" t="s">
        <v>611</v>
      </c>
      <c r="I449" s="76" t="s">
        <v>389</v>
      </c>
      <c r="J449" s="76" t="s">
        <v>384</v>
      </c>
      <c r="K449" s="76" t="s">
        <v>1442</v>
      </c>
      <c r="L449" s="76" t="s">
        <v>411</v>
      </c>
      <c r="M449" s="76" t="s">
        <v>643</v>
      </c>
      <c r="N449" s="76">
        <v>1000</v>
      </c>
      <c r="O449" s="76">
        <v>710</v>
      </c>
      <c r="P449" s="78">
        <v>0.28999999999999998</v>
      </c>
    </row>
    <row r="450" spans="7:16" x14ac:dyDescent="0.3">
      <c r="G450" t="s">
        <v>1443</v>
      </c>
      <c r="H450" s="76" t="s">
        <v>388</v>
      </c>
      <c r="I450" s="76" t="s">
        <v>389</v>
      </c>
      <c r="J450" s="76" t="s">
        <v>384</v>
      </c>
      <c r="K450" s="77">
        <v>43351</v>
      </c>
      <c r="L450" s="76" t="s">
        <v>424</v>
      </c>
      <c r="M450" s="76" t="s">
        <v>1444</v>
      </c>
      <c r="N450" s="76">
        <v>500</v>
      </c>
      <c r="O450" s="76">
        <v>495</v>
      </c>
      <c r="P450" s="78">
        <v>0.01</v>
      </c>
    </row>
    <row r="451" spans="7:16" x14ac:dyDescent="0.3">
      <c r="G451" t="s">
        <v>1445</v>
      </c>
      <c r="H451" s="76" t="s">
        <v>399</v>
      </c>
      <c r="I451" s="76" t="s">
        <v>400</v>
      </c>
      <c r="J451" s="76" t="s">
        <v>372</v>
      </c>
      <c r="K451" s="76" t="s">
        <v>1164</v>
      </c>
      <c r="L451" s="76" t="s">
        <v>424</v>
      </c>
      <c r="M451" s="76" t="s">
        <v>1286</v>
      </c>
      <c r="N451" s="76">
        <v>500</v>
      </c>
      <c r="O451" s="76">
        <v>490</v>
      </c>
      <c r="P451" s="78">
        <v>0.02</v>
      </c>
    </row>
    <row r="452" spans="7:16" x14ac:dyDescent="0.3">
      <c r="G452" t="s">
        <v>1446</v>
      </c>
      <c r="H452" s="76" t="s">
        <v>478</v>
      </c>
      <c r="I452" s="76" t="s">
        <v>479</v>
      </c>
      <c r="J452" s="76" t="s">
        <v>384</v>
      </c>
      <c r="K452" s="76" t="s">
        <v>1447</v>
      </c>
      <c r="L452" s="76" t="s">
        <v>461</v>
      </c>
      <c r="M452" s="76" t="s">
        <v>1448</v>
      </c>
      <c r="N452" s="76">
        <v>70</v>
      </c>
      <c r="O452" s="76">
        <v>67</v>
      </c>
      <c r="P452" s="78">
        <v>4.2900000000000001E-2</v>
      </c>
    </row>
    <row r="453" spans="7:16" x14ac:dyDescent="0.3">
      <c r="G453" t="s">
        <v>1449</v>
      </c>
      <c r="H453" s="76" t="s">
        <v>497</v>
      </c>
      <c r="I453" s="76" t="s">
        <v>445</v>
      </c>
      <c r="J453" s="76" t="s">
        <v>384</v>
      </c>
      <c r="K453" s="77">
        <v>42014</v>
      </c>
      <c r="L453" s="76" t="s">
        <v>475</v>
      </c>
      <c r="M453" s="76" t="s">
        <v>1450</v>
      </c>
      <c r="N453" s="76">
        <v>250</v>
      </c>
      <c r="O453" s="76">
        <v>235</v>
      </c>
      <c r="P453" s="78">
        <v>0.06</v>
      </c>
    </row>
    <row r="454" spans="7:16" x14ac:dyDescent="0.3">
      <c r="G454" t="s">
        <v>1451</v>
      </c>
      <c r="H454" s="76" t="s">
        <v>399</v>
      </c>
      <c r="I454" s="76" t="s">
        <v>400</v>
      </c>
      <c r="J454" s="76" t="s">
        <v>372</v>
      </c>
      <c r="K454" s="77">
        <v>42988</v>
      </c>
      <c r="L454" s="76" t="s">
        <v>405</v>
      </c>
      <c r="M454" s="76" t="s">
        <v>1194</v>
      </c>
      <c r="N454" s="76">
        <v>800</v>
      </c>
      <c r="O454" s="76">
        <v>584</v>
      </c>
      <c r="P454" s="78">
        <v>0.27</v>
      </c>
    </row>
    <row r="455" spans="7:16" x14ac:dyDescent="0.3">
      <c r="G455" t="s">
        <v>1452</v>
      </c>
      <c r="H455" s="76" t="s">
        <v>528</v>
      </c>
      <c r="I455" s="76" t="s">
        <v>465</v>
      </c>
      <c r="J455" s="76" t="s">
        <v>366</v>
      </c>
      <c r="K455" s="77">
        <v>42861</v>
      </c>
      <c r="L455" s="76" t="s">
        <v>361</v>
      </c>
      <c r="M455" s="76" t="s">
        <v>1275</v>
      </c>
      <c r="N455" s="76">
        <v>80</v>
      </c>
      <c r="O455" s="76">
        <v>72</v>
      </c>
      <c r="P455" s="78">
        <v>0.1</v>
      </c>
    </row>
    <row r="456" spans="7:16" x14ac:dyDescent="0.3">
      <c r="G456" t="s">
        <v>1453</v>
      </c>
      <c r="H456" s="76" t="s">
        <v>364</v>
      </c>
      <c r="I456" s="76" t="s">
        <v>365</v>
      </c>
      <c r="J456" s="76" t="s">
        <v>366</v>
      </c>
      <c r="K456" s="77">
        <v>41672</v>
      </c>
      <c r="L456" s="76" t="s">
        <v>411</v>
      </c>
      <c r="M456" s="76" t="s">
        <v>1454</v>
      </c>
      <c r="N456" s="76">
        <v>1000</v>
      </c>
      <c r="O456" s="76">
        <v>750</v>
      </c>
      <c r="P456" s="78">
        <v>0.25</v>
      </c>
    </row>
    <row r="457" spans="7:16" x14ac:dyDescent="0.3">
      <c r="G457" t="s">
        <v>1455</v>
      </c>
      <c r="H457" s="76" t="s">
        <v>700</v>
      </c>
      <c r="I457" s="76" t="s">
        <v>465</v>
      </c>
      <c r="J457" s="76" t="s">
        <v>366</v>
      </c>
      <c r="K457" s="77">
        <v>42470</v>
      </c>
      <c r="L457" s="76" t="s">
        <v>405</v>
      </c>
      <c r="M457" s="76" t="s">
        <v>778</v>
      </c>
      <c r="N457" s="76">
        <v>800</v>
      </c>
      <c r="O457" s="76">
        <v>696</v>
      </c>
      <c r="P457" s="78">
        <v>0.13</v>
      </c>
    </row>
    <row r="458" spans="7:16" x14ac:dyDescent="0.3">
      <c r="G458" t="s">
        <v>1456</v>
      </c>
      <c r="H458" s="76" t="s">
        <v>845</v>
      </c>
      <c r="I458" s="76" t="s">
        <v>846</v>
      </c>
      <c r="J458" s="76" t="s">
        <v>360</v>
      </c>
      <c r="K458" s="76" t="s">
        <v>1004</v>
      </c>
      <c r="L458" s="76" t="s">
        <v>379</v>
      </c>
      <c r="M458" s="76" t="s">
        <v>1457</v>
      </c>
      <c r="N458" s="76">
        <v>150</v>
      </c>
      <c r="O458" s="76">
        <v>146</v>
      </c>
      <c r="P458" s="78">
        <v>2.6700000000000002E-2</v>
      </c>
    </row>
    <row r="459" spans="7:16" x14ac:dyDescent="0.3">
      <c r="G459" t="s">
        <v>1458</v>
      </c>
      <c r="H459" s="76" t="s">
        <v>891</v>
      </c>
      <c r="I459" s="76" t="s">
        <v>892</v>
      </c>
      <c r="J459" s="76" t="s">
        <v>372</v>
      </c>
      <c r="K459" s="77">
        <v>42318</v>
      </c>
      <c r="L459" s="76" t="s">
        <v>483</v>
      </c>
      <c r="M459" s="76" t="s">
        <v>1459</v>
      </c>
      <c r="N459" s="76">
        <v>50</v>
      </c>
      <c r="O459" s="76">
        <v>41</v>
      </c>
      <c r="P459" s="78">
        <v>0.18</v>
      </c>
    </row>
    <row r="460" spans="7:16" x14ac:dyDescent="0.3">
      <c r="G460" t="s">
        <v>1460</v>
      </c>
      <c r="H460" s="76" t="s">
        <v>449</v>
      </c>
      <c r="I460" s="76" t="s">
        <v>450</v>
      </c>
      <c r="J460" s="76" t="s">
        <v>360</v>
      </c>
      <c r="K460" s="76" t="s">
        <v>1461</v>
      </c>
      <c r="L460" s="76" t="s">
        <v>424</v>
      </c>
      <c r="M460" s="76" t="s">
        <v>1176</v>
      </c>
      <c r="N460" s="76">
        <v>500</v>
      </c>
      <c r="O460" s="76">
        <v>495</v>
      </c>
      <c r="P460" s="78">
        <v>0.01</v>
      </c>
    </row>
    <row r="461" spans="7:16" x14ac:dyDescent="0.3">
      <c r="G461" t="s">
        <v>1462</v>
      </c>
      <c r="H461" s="76" t="s">
        <v>434</v>
      </c>
      <c r="I461" s="76" t="s">
        <v>435</v>
      </c>
      <c r="J461" s="76" t="s">
        <v>360</v>
      </c>
      <c r="K461" s="76" t="s">
        <v>1463</v>
      </c>
      <c r="L461" s="76" t="s">
        <v>385</v>
      </c>
      <c r="M461" s="76" t="s">
        <v>1464</v>
      </c>
      <c r="N461" s="76">
        <v>50</v>
      </c>
      <c r="O461" s="76">
        <v>46</v>
      </c>
      <c r="P461" s="78">
        <v>0.08</v>
      </c>
    </row>
    <row r="462" spans="7:16" x14ac:dyDescent="0.3">
      <c r="G462" t="s">
        <v>1465</v>
      </c>
      <c r="H462" s="76" t="s">
        <v>485</v>
      </c>
      <c r="I462" s="76" t="s">
        <v>389</v>
      </c>
      <c r="J462" s="76" t="s">
        <v>384</v>
      </c>
      <c r="K462" s="76" t="s">
        <v>1466</v>
      </c>
      <c r="L462" s="76" t="s">
        <v>361</v>
      </c>
      <c r="M462" s="76" t="s">
        <v>1467</v>
      </c>
      <c r="N462" s="76">
        <v>80</v>
      </c>
      <c r="O462" s="76">
        <v>74</v>
      </c>
      <c r="P462" s="78">
        <v>7.4999999999999997E-2</v>
      </c>
    </row>
    <row r="463" spans="7:16" x14ac:dyDescent="0.3">
      <c r="G463" t="s">
        <v>1468</v>
      </c>
      <c r="H463" s="76" t="s">
        <v>668</v>
      </c>
      <c r="I463" s="76" t="s">
        <v>669</v>
      </c>
      <c r="J463" s="76" t="s">
        <v>360</v>
      </c>
      <c r="K463" s="77">
        <v>41796</v>
      </c>
      <c r="L463" s="76" t="s">
        <v>461</v>
      </c>
      <c r="M463" s="76" t="s">
        <v>736</v>
      </c>
      <c r="N463" s="76">
        <v>70</v>
      </c>
      <c r="O463" s="76">
        <v>59</v>
      </c>
      <c r="P463" s="78">
        <v>0.15709999999999999</v>
      </c>
    </row>
    <row r="464" spans="7:16" x14ac:dyDescent="0.3">
      <c r="G464" t="s">
        <v>1469</v>
      </c>
      <c r="H464" s="76" t="s">
        <v>409</v>
      </c>
      <c r="I464" s="76" t="s">
        <v>410</v>
      </c>
      <c r="J464" s="76" t="s">
        <v>360</v>
      </c>
      <c r="K464" s="76" t="s">
        <v>1470</v>
      </c>
      <c r="L464" s="76" t="s">
        <v>461</v>
      </c>
      <c r="M464" s="76" t="s">
        <v>733</v>
      </c>
      <c r="N464" s="76">
        <v>70</v>
      </c>
      <c r="O464" s="76">
        <v>68</v>
      </c>
      <c r="P464" s="78">
        <v>2.86E-2</v>
      </c>
    </row>
    <row r="465" spans="7:16" x14ac:dyDescent="0.3">
      <c r="G465" t="s">
        <v>1471</v>
      </c>
      <c r="H465" s="76" t="s">
        <v>489</v>
      </c>
      <c r="I465" s="76" t="s">
        <v>490</v>
      </c>
      <c r="J465" s="76" t="s">
        <v>360</v>
      </c>
      <c r="K465" s="77">
        <v>42958</v>
      </c>
      <c r="L465" s="76" t="s">
        <v>379</v>
      </c>
      <c r="M465" s="76" t="s">
        <v>1472</v>
      </c>
      <c r="N465" s="76">
        <v>150</v>
      </c>
      <c r="O465" s="76">
        <v>146</v>
      </c>
      <c r="P465" s="78">
        <v>2.6700000000000002E-2</v>
      </c>
    </row>
    <row r="466" spans="7:16" x14ac:dyDescent="0.3">
      <c r="G466" t="s">
        <v>1473</v>
      </c>
      <c r="H466" s="76" t="s">
        <v>358</v>
      </c>
      <c r="I466" s="76" t="s">
        <v>359</v>
      </c>
      <c r="J466" s="76" t="s">
        <v>360</v>
      </c>
      <c r="K466" s="76" t="s">
        <v>1474</v>
      </c>
      <c r="L466" s="76" t="s">
        <v>411</v>
      </c>
      <c r="M466" s="76" t="s">
        <v>575</v>
      </c>
      <c r="N466" s="76">
        <v>1000</v>
      </c>
      <c r="O466" s="76">
        <v>630</v>
      </c>
      <c r="P466" s="78">
        <v>0.37</v>
      </c>
    </row>
    <row r="467" spans="7:16" x14ac:dyDescent="0.3">
      <c r="G467" t="s">
        <v>1475</v>
      </c>
      <c r="H467" s="76" t="s">
        <v>619</v>
      </c>
      <c r="I467" s="76" t="s">
        <v>620</v>
      </c>
      <c r="J467" s="76" t="s">
        <v>372</v>
      </c>
      <c r="K467" s="76" t="s">
        <v>1442</v>
      </c>
      <c r="L467" s="76" t="s">
        <v>385</v>
      </c>
      <c r="M467" s="76" t="s">
        <v>1476</v>
      </c>
      <c r="N467" s="76">
        <v>50</v>
      </c>
      <c r="O467" s="76">
        <v>44</v>
      </c>
      <c r="P467" s="78">
        <v>0.12</v>
      </c>
    </row>
    <row r="468" spans="7:16" x14ac:dyDescent="0.3">
      <c r="G468" t="s">
        <v>1477</v>
      </c>
      <c r="H468" s="76" t="s">
        <v>414</v>
      </c>
      <c r="I468" s="76" t="s">
        <v>415</v>
      </c>
      <c r="J468" s="76" t="s">
        <v>384</v>
      </c>
      <c r="K468" s="76" t="s">
        <v>1478</v>
      </c>
      <c r="L468" s="76" t="s">
        <v>373</v>
      </c>
      <c r="M468" s="76" t="s">
        <v>1479</v>
      </c>
      <c r="N468" s="76">
        <v>700</v>
      </c>
      <c r="O468" s="76">
        <v>693</v>
      </c>
      <c r="P468" s="78">
        <v>0.01</v>
      </c>
    </row>
    <row r="469" spans="7:16" x14ac:dyDescent="0.3">
      <c r="G469" t="s">
        <v>1480</v>
      </c>
      <c r="H469" s="76" t="s">
        <v>566</v>
      </c>
      <c r="I469" s="76" t="s">
        <v>567</v>
      </c>
      <c r="J469" s="76" t="s">
        <v>360</v>
      </c>
      <c r="K469" s="76" t="s">
        <v>1481</v>
      </c>
      <c r="L469" s="76" t="s">
        <v>373</v>
      </c>
      <c r="M469" s="76" t="s">
        <v>1370</v>
      </c>
      <c r="N469" s="76">
        <v>700</v>
      </c>
      <c r="O469" s="76">
        <v>637</v>
      </c>
      <c r="P469" s="78">
        <v>0.09</v>
      </c>
    </row>
    <row r="470" spans="7:16" x14ac:dyDescent="0.3">
      <c r="G470" t="s">
        <v>1482</v>
      </c>
      <c r="H470" s="76" t="s">
        <v>394</v>
      </c>
      <c r="I470" s="76" t="s">
        <v>395</v>
      </c>
      <c r="J470" s="76" t="s">
        <v>372</v>
      </c>
      <c r="K470" s="77">
        <v>42556</v>
      </c>
      <c r="L470" s="76" t="s">
        <v>361</v>
      </c>
      <c r="M470" s="76" t="s">
        <v>718</v>
      </c>
      <c r="N470" s="76">
        <v>80</v>
      </c>
      <c r="O470" s="76">
        <v>68</v>
      </c>
      <c r="P470" s="78">
        <v>0.15</v>
      </c>
    </row>
    <row r="471" spans="7:16" x14ac:dyDescent="0.3">
      <c r="G471" t="s">
        <v>1483</v>
      </c>
      <c r="H471" s="76" t="s">
        <v>429</v>
      </c>
      <c r="I471" s="76" t="s">
        <v>430</v>
      </c>
      <c r="J471" s="76" t="s">
        <v>384</v>
      </c>
      <c r="K471" s="76" t="s">
        <v>602</v>
      </c>
      <c r="L471" s="76" t="s">
        <v>391</v>
      </c>
      <c r="M471" s="76" t="s">
        <v>536</v>
      </c>
      <c r="N471" s="76">
        <v>30</v>
      </c>
      <c r="O471" s="76">
        <v>26</v>
      </c>
      <c r="P471" s="78">
        <v>0.1333</v>
      </c>
    </row>
    <row r="472" spans="7:16" x14ac:dyDescent="0.3">
      <c r="G472" t="s">
        <v>1484</v>
      </c>
      <c r="H472" s="76" t="s">
        <v>700</v>
      </c>
      <c r="I472" s="76" t="s">
        <v>465</v>
      </c>
      <c r="J472" s="76" t="s">
        <v>366</v>
      </c>
      <c r="K472" s="76" t="s">
        <v>1485</v>
      </c>
      <c r="L472" s="76" t="s">
        <v>475</v>
      </c>
      <c r="M472" s="76" t="s">
        <v>1486</v>
      </c>
      <c r="N472" s="76">
        <v>250</v>
      </c>
      <c r="O472" s="76">
        <v>240</v>
      </c>
      <c r="P472" s="78">
        <v>0.04</v>
      </c>
    </row>
    <row r="473" spans="7:16" x14ac:dyDescent="0.3">
      <c r="G473" t="s">
        <v>1487</v>
      </c>
      <c r="H473" s="76" t="s">
        <v>459</v>
      </c>
      <c r="I473" s="76" t="s">
        <v>422</v>
      </c>
      <c r="J473" s="76" t="s">
        <v>384</v>
      </c>
      <c r="K473" s="77">
        <v>43320</v>
      </c>
      <c r="L473" s="76" t="s">
        <v>379</v>
      </c>
      <c r="M473" s="76" t="s">
        <v>462</v>
      </c>
      <c r="N473" s="76">
        <v>150</v>
      </c>
      <c r="O473" s="76">
        <v>131</v>
      </c>
      <c r="P473" s="78">
        <v>0.12670000000000001</v>
      </c>
    </row>
    <row r="474" spans="7:16" x14ac:dyDescent="0.3">
      <c r="G474" t="s">
        <v>1488</v>
      </c>
      <c r="H474" s="76" t="s">
        <v>514</v>
      </c>
      <c r="I474" s="76" t="s">
        <v>515</v>
      </c>
      <c r="J474" s="76" t="s">
        <v>360</v>
      </c>
      <c r="K474" s="77">
        <v>42770</v>
      </c>
      <c r="L474" s="76" t="s">
        <v>411</v>
      </c>
      <c r="M474" s="76" t="s">
        <v>1281</v>
      </c>
      <c r="N474" s="76">
        <v>1000</v>
      </c>
      <c r="O474" s="76">
        <v>820</v>
      </c>
      <c r="P474" s="78">
        <v>0.18</v>
      </c>
    </row>
    <row r="475" spans="7:16" x14ac:dyDescent="0.3">
      <c r="G475" t="s">
        <v>1489</v>
      </c>
      <c r="H475" s="76" t="s">
        <v>891</v>
      </c>
      <c r="I475" s="76" t="s">
        <v>892</v>
      </c>
      <c r="J475" s="76" t="s">
        <v>372</v>
      </c>
      <c r="K475" s="76" t="s">
        <v>1490</v>
      </c>
      <c r="L475" s="76" t="s">
        <v>405</v>
      </c>
      <c r="M475" s="76" t="s">
        <v>1333</v>
      </c>
      <c r="N475" s="76">
        <v>800</v>
      </c>
      <c r="O475" s="76">
        <v>528</v>
      </c>
      <c r="P475" s="78">
        <v>0.34</v>
      </c>
    </row>
    <row r="476" spans="7:16" x14ac:dyDescent="0.3">
      <c r="G476" t="s">
        <v>1491</v>
      </c>
      <c r="H476" s="76" t="s">
        <v>747</v>
      </c>
      <c r="I476" s="76" t="s">
        <v>748</v>
      </c>
      <c r="J476" s="76" t="s">
        <v>360</v>
      </c>
      <c r="K476" s="76" t="s">
        <v>712</v>
      </c>
      <c r="L476" s="76" t="s">
        <v>461</v>
      </c>
      <c r="M476" s="76" t="s">
        <v>917</v>
      </c>
      <c r="N476" s="76">
        <v>70</v>
      </c>
      <c r="O476" s="76">
        <v>69</v>
      </c>
      <c r="P476" s="78">
        <v>1.43E-2</v>
      </c>
    </row>
    <row r="477" spans="7:16" x14ac:dyDescent="0.3">
      <c r="G477" t="s">
        <v>1492</v>
      </c>
      <c r="H477" s="76" t="s">
        <v>747</v>
      </c>
      <c r="I477" s="76" t="s">
        <v>748</v>
      </c>
      <c r="J477" s="76" t="s">
        <v>360</v>
      </c>
      <c r="K477" s="77">
        <v>43318</v>
      </c>
      <c r="L477" s="76" t="s">
        <v>396</v>
      </c>
      <c r="M477" s="76" t="s">
        <v>1493</v>
      </c>
      <c r="N477" s="76">
        <v>500</v>
      </c>
      <c r="O477" s="76">
        <v>485</v>
      </c>
      <c r="P477" s="78">
        <v>0.03</v>
      </c>
    </row>
    <row r="478" spans="7:16" x14ac:dyDescent="0.3">
      <c r="G478" t="s">
        <v>1494</v>
      </c>
      <c r="H478" s="76" t="s">
        <v>473</v>
      </c>
      <c r="I478" s="76" t="s">
        <v>404</v>
      </c>
      <c r="J478" s="76" t="s">
        <v>360</v>
      </c>
      <c r="K478" s="76" t="s">
        <v>1495</v>
      </c>
      <c r="L478" s="76" t="s">
        <v>483</v>
      </c>
      <c r="M478" s="76" t="s">
        <v>1496</v>
      </c>
      <c r="N478" s="76">
        <v>50</v>
      </c>
      <c r="O478" s="76">
        <v>39</v>
      </c>
      <c r="P478" s="78">
        <v>0.22</v>
      </c>
    </row>
    <row r="479" spans="7:16" x14ac:dyDescent="0.3">
      <c r="G479" t="s">
        <v>1497</v>
      </c>
      <c r="H479" s="76" t="s">
        <v>473</v>
      </c>
      <c r="I479" s="76" t="s">
        <v>404</v>
      </c>
      <c r="J479" s="76" t="s">
        <v>360</v>
      </c>
      <c r="K479" s="76" t="s">
        <v>910</v>
      </c>
      <c r="L479" s="76" t="s">
        <v>411</v>
      </c>
      <c r="M479" s="76" t="s">
        <v>1498</v>
      </c>
      <c r="N479" s="76">
        <v>1000</v>
      </c>
      <c r="O479" s="76">
        <v>830</v>
      </c>
      <c r="P479" s="78">
        <v>0.17</v>
      </c>
    </row>
    <row r="480" spans="7:16" x14ac:dyDescent="0.3">
      <c r="G480" t="s">
        <v>1499</v>
      </c>
      <c r="H480" s="76" t="s">
        <v>528</v>
      </c>
      <c r="I480" s="76" t="s">
        <v>465</v>
      </c>
      <c r="J480" s="76" t="s">
        <v>366</v>
      </c>
      <c r="K480" s="76" t="s">
        <v>1500</v>
      </c>
      <c r="L480" s="76" t="s">
        <v>385</v>
      </c>
      <c r="M480" s="76" t="s">
        <v>933</v>
      </c>
      <c r="N480" s="76">
        <v>50</v>
      </c>
      <c r="O480" s="76">
        <v>44</v>
      </c>
      <c r="P480" s="78">
        <v>0.12</v>
      </c>
    </row>
    <row r="481" spans="7:16" x14ac:dyDescent="0.3">
      <c r="G481" t="s">
        <v>1501</v>
      </c>
      <c r="H481" s="76" t="s">
        <v>403</v>
      </c>
      <c r="I481" s="76" t="s">
        <v>404</v>
      </c>
      <c r="J481" s="76" t="s">
        <v>360</v>
      </c>
      <c r="K481" s="76" t="s">
        <v>1502</v>
      </c>
      <c r="L481" s="76" t="s">
        <v>424</v>
      </c>
      <c r="M481" s="76" t="s">
        <v>851</v>
      </c>
      <c r="N481" s="76">
        <v>500</v>
      </c>
      <c r="O481" s="76">
        <v>500</v>
      </c>
      <c r="P481" s="78">
        <v>0</v>
      </c>
    </row>
    <row r="482" spans="7:16" x14ac:dyDescent="0.3">
      <c r="G482" t="s">
        <v>1503</v>
      </c>
      <c r="H482" s="76" t="s">
        <v>364</v>
      </c>
      <c r="I482" s="76" t="s">
        <v>365</v>
      </c>
      <c r="J482" s="76" t="s">
        <v>366</v>
      </c>
      <c r="K482" s="76" t="s">
        <v>1504</v>
      </c>
      <c r="L482" s="76" t="s">
        <v>385</v>
      </c>
      <c r="M482" s="76" t="s">
        <v>973</v>
      </c>
      <c r="N482" s="76">
        <v>50</v>
      </c>
      <c r="O482" s="76">
        <v>37</v>
      </c>
      <c r="P482" s="78">
        <v>0.26</v>
      </c>
    </row>
    <row r="483" spans="7:16" x14ac:dyDescent="0.3">
      <c r="G483" t="s">
        <v>1505</v>
      </c>
      <c r="H483" s="76" t="s">
        <v>560</v>
      </c>
      <c r="I483" s="76" t="s">
        <v>465</v>
      </c>
      <c r="J483" s="76" t="s">
        <v>366</v>
      </c>
      <c r="K483" s="76" t="s">
        <v>1506</v>
      </c>
      <c r="L483" s="76" t="s">
        <v>361</v>
      </c>
      <c r="M483" s="76" t="s">
        <v>987</v>
      </c>
      <c r="N483" s="76">
        <v>80</v>
      </c>
      <c r="O483" s="76">
        <v>78</v>
      </c>
      <c r="P483" s="78">
        <v>2.5000000000000001E-2</v>
      </c>
    </row>
    <row r="484" spans="7:16" x14ac:dyDescent="0.3">
      <c r="G484" t="s">
        <v>1507</v>
      </c>
      <c r="H484" s="76" t="s">
        <v>675</v>
      </c>
      <c r="I484" s="76" t="s">
        <v>676</v>
      </c>
      <c r="J484" s="76" t="s">
        <v>384</v>
      </c>
      <c r="K484" s="76" t="s">
        <v>588</v>
      </c>
      <c r="L484" s="76" t="s">
        <v>461</v>
      </c>
      <c r="M484" s="76" t="s">
        <v>764</v>
      </c>
      <c r="N484" s="76">
        <v>70</v>
      </c>
      <c r="O484" s="76">
        <v>65</v>
      </c>
      <c r="P484" s="78">
        <v>7.1400000000000005E-2</v>
      </c>
    </row>
    <row r="485" spans="7:16" x14ac:dyDescent="0.3">
      <c r="G485" t="s">
        <v>1508</v>
      </c>
      <c r="H485" s="76" t="s">
        <v>464</v>
      </c>
      <c r="I485" s="76" t="s">
        <v>465</v>
      </c>
      <c r="J485" s="76" t="s">
        <v>366</v>
      </c>
      <c r="K485" s="76" t="s">
        <v>1509</v>
      </c>
      <c r="L485" s="76" t="s">
        <v>475</v>
      </c>
      <c r="M485" s="76" t="s">
        <v>1510</v>
      </c>
      <c r="N485" s="76">
        <v>250</v>
      </c>
      <c r="O485" s="76">
        <v>228</v>
      </c>
      <c r="P485" s="78">
        <v>8.7999999999999995E-2</v>
      </c>
    </row>
    <row r="486" spans="7:16" x14ac:dyDescent="0.3">
      <c r="G486" t="s">
        <v>1511</v>
      </c>
      <c r="H486" s="76" t="s">
        <v>478</v>
      </c>
      <c r="I486" s="76" t="s">
        <v>479</v>
      </c>
      <c r="J486" s="76" t="s">
        <v>384</v>
      </c>
      <c r="K486" s="77">
        <v>42990</v>
      </c>
      <c r="L486" s="76" t="s">
        <v>475</v>
      </c>
      <c r="M486" s="76" t="s">
        <v>1512</v>
      </c>
      <c r="N486" s="76">
        <v>250</v>
      </c>
      <c r="O486" s="76">
        <v>250</v>
      </c>
      <c r="P486" s="78">
        <v>0</v>
      </c>
    </row>
    <row r="487" spans="7:16" x14ac:dyDescent="0.3">
      <c r="G487" t="s">
        <v>1513</v>
      </c>
      <c r="H487" s="76" t="s">
        <v>747</v>
      </c>
      <c r="I487" s="76" t="s">
        <v>748</v>
      </c>
      <c r="J487" s="76" t="s">
        <v>360</v>
      </c>
      <c r="K487" s="76" t="s">
        <v>687</v>
      </c>
      <c r="L487" s="76" t="s">
        <v>391</v>
      </c>
      <c r="M487" s="76" t="s">
        <v>800</v>
      </c>
      <c r="N487" s="76">
        <v>30</v>
      </c>
      <c r="O487" s="76">
        <v>29</v>
      </c>
      <c r="P487" s="78">
        <v>3.3300000000000003E-2</v>
      </c>
    </row>
    <row r="488" spans="7:16" x14ac:dyDescent="0.3">
      <c r="G488" t="s">
        <v>1514</v>
      </c>
      <c r="H488" s="76" t="s">
        <v>591</v>
      </c>
      <c r="I488" s="76" t="s">
        <v>592</v>
      </c>
      <c r="J488" s="76" t="s">
        <v>372</v>
      </c>
      <c r="K488" s="77">
        <v>42065</v>
      </c>
      <c r="L488" s="76" t="s">
        <v>483</v>
      </c>
      <c r="M488" s="76" t="s">
        <v>796</v>
      </c>
      <c r="N488" s="76">
        <v>50</v>
      </c>
      <c r="O488" s="76">
        <v>32</v>
      </c>
      <c r="P488" s="78">
        <v>0.36</v>
      </c>
    </row>
    <row r="489" spans="7:16" x14ac:dyDescent="0.3">
      <c r="G489" t="s">
        <v>1515</v>
      </c>
      <c r="H489" s="76" t="s">
        <v>444</v>
      </c>
      <c r="I489" s="76" t="s">
        <v>445</v>
      </c>
      <c r="J489" s="76" t="s">
        <v>384</v>
      </c>
      <c r="K489" s="76" t="s">
        <v>1490</v>
      </c>
      <c r="L489" s="76" t="s">
        <v>373</v>
      </c>
      <c r="M489" s="76" t="s">
        <v>1516</v>
      </c>
      <c r="N489" s="76">
        <v>700</v>
      </c>
      <c r="O489" s="76">
        <v>686</v>
      </c>
      <c r="P489" s="78">
        <v>0.02</v>
      </c>
    </row>
    <row r="490" spans="7:16" x14ac:dyDescent="0.3">
      <c r="G490" t="s">
        <v>1517</v>
      </c>
      <c r="H490" s="76" t="s">
        <v>891</v>
      </c>
      <c r="I490" s="76" t="s">
        <v>892</v>
      </c>
      <c r="J490" s="76" t="s">
        <v>372</v>
      </c>
      <c r="K490" s="76" t="s">
        <v>1518</v>
      </c>
      <c r="L490" s="76" t="s">
        <v>379</v>
      </c>
      <c r="M490" s="76" t="s">
        <v>1046</v>
      </c>
      <c r="N490" s="76">
        <v>150</v>
      </c>
      <c r="O490" s="76">
        <v>131</v>
      </c>
      <c r="P490" s="78">
        <v>0.12670000000000001</v>
      </c>
    </row>
    <row r="491" spans="7:16" x14ac:dyDescent="0.3">
      <c r="G491" t="s">
        <v>1519</v>
      </c>
      <c r="H491" s="76" t="s">
        <v>700</v>
      </c>
      <c r="I491" s="76" t="s">
        <v>465</v>
      </c>
      <c r="J491" s="76" t="s">
        <v>366</v>
      </c>
      <c r="K491" s="77">
        <v>42496</v>
      </c>
      <c r="L491" s="76" t="s">
        <v>411</v>
      </c>
      <c r="M491" s="76" t="s">
        <v>1520</v>
      </c>
      <c r="N491" s="76">
        <v>1000</v>
      </c>
      <c r="O491" s="76">
        <v>940</v>
      </c>
      <c r="P491" s="78">
        <v>0.06</v>
      </c>
    </row>
    <row r="492" spans="7:16" x14ac:dyDescent="0.3">
      <c r="G492" t="s">
        <v>1521</v>
      </c>
      <c r="H492" s="76" t="s">
        <v>454</v>
      </c>
      <c r="I492" s="76" t="s">
        <v>455</v>
      </c>
      <c r="J492" s="76" t="s">
        <v>360</v>
      </c>
      <c r="K492" s="77">
        <v>42588</v>
      </c>
      <c r="L492" s="76" t="s">
        <v>379</v>
      </c>
      <c r="M492" s="76" t="s">
        <v>1318</v>
      </c>
      <c r="N492" s="76">
        <v>150</v>
      </c>
      <c r="O492" s="76">
        <v>138</v>
      </c>
      <c r="P492" s="78">
        <v>0.08</v>
      </c>
    </row>
    <row r="493" spans="7:16" x14ac:dyDescent="0.3">
      <c r="G493" t="s">
        <v>1522</v>
      </c>
      <c r="H493" s="76" t="s">
        <v>615</v>
      </c>
      <c r="I493" s="76" t="s">
        <v>400</v>
      </c>
      <c r="J493" s="76" t="s">
        <v>372</v>
      </c>
      <c r="K493" s="76" t="s">
        <v>1523</v>
      </c>
      <c r="L493" s="76" t="s">
        <v>483</v>
      </c>
      <c r="M493" s="76" t="s">
        <v>1524</v>
      </c>
      <c r="N493" s="76">
        <v>50</v>
      </c>
      <c r="O493" s="76">
        <v>44</v>
      </c>
      <c r="P493" s="78">
        <v>0.12</v>
      </c>
    </row>
    <row r="494" spans="7:16" x14ac:dyDescent="0.3">
      <c r="G494" t="s">
        <v>1525</v>
      </c>
      <c r="H494" s="76" t="s">
        <v>668</v>
      </c>
      <c r="I494" s="76" t="s">
        <v>669</v>
      </c>
      <c r="J494" s="76" t="s">
        <v>360</v>
      </c>
      <c r="K494" s="77">
        <v>42584</v>
      </c>
      <c r="L494" s="76" t="s">
        <v>475</v>
      </c>
      <c r="M494" s="76" t="s">
        <v>1385</v>
      </c>
      <c r="N494" s="76">
        <v>250</v>
      </c>
      <c r="O494" s="76">
        <v>218</v>
      </c>
      <c r="P494" s="78">
        <v>0.128</v>
      </c>
    </row>
    <row r="495" spans="7:16" x14ac:dyDescent="0.3">
      <c r="G495" t="s">
        <v>1526</v>
      </c>
      <c r="H495" s="76" t="s">
        <v>478</v>
      </c>
      <c r="I495" s="76" t="s">
        <v>479</v>
      </c>
      <c r="J495" s="76" t="s">
        <v>384</v>
      </c>
      <c r="K495" s="77">
        <v>42592</v>
      </c>
      <c r="L495" s="76" t="s">
        <v>379</v>
      </c>
      <c r="M495" s="76" t="s">
        <v>1527</v>
      </c>
      <c r="N495" s="76">
        <v>150</v>
      </c>
      <c r="O495" s="76">
        <v>144</v>
      </c>
      <c r="P495" s="78">
        <v>0.04</v>
      </c>
    </row>
    <row r="496" spans="7:16" x14ac:dyDescent="0.3">
      <c r="G496" t="s">
        <v>1528</v>
      </c>
      <c r="H496" s="76" t="s">
        <v>454</v>
      </c>
      <c r="I496" s="76" t="s">
        <v>455</v>
      </c>
      <c r="J496" s="76" t="s">
        <v>360</v>
      </c>
      <c r="K496" s="77">
        <v>43195</v>
      </c>
      <c r="L496" s="76" t="s">
        <v>411</v>
      </c>
      <c r="M496" s="76" t="s">
        <v>1529</v>
      </c>
      <c r="N496" s="76">
        <v>1000</v>
      </c>
      <c r="O496" s="76">
        <v>890</v>
      </c>
      <c r="P496" s="78">
        <v>0.11</v>
      </c>
    </row>
    <row r="497" spans="7:16" x14ac:dyDescent="0.3">
      <c r="G497" t="s">
        <v>1530</v>
      </c>
      <c r="H497" s="76" t="s">
        <v>364</v>
      </c>
      <c r="I497" s="76" t="s">
        <v>365</v>
      </c>
      <c r="J497" s="76" t="s">
        <v>366</v>
      </c>
      <c r="K497" s="76" t="s">
        <v>687</v>
      </c>
      <c r="L497" s="76" t="s">
        <v>379</v>
      </c>
      <c r="M497" s="76" t="s">
        <v>1531</v>
      </c>
      <c r="N497" s="76">
        <v>150</v>
      </c>
      <c r="O497" s="76">
        <v>150</v>
      </c>
      <c r="P497" s="78">
        <v>0</v>
      </c>
    </row>
    <row r="498" spans="7:16" x14ac:dyDescent="0.3">
      <c r="G498" t="s">
        <v>1532</v>
      </c>
      <c r="H498" s="76" t="s">
        <v>700</v>
      </c>
      <c r="I498" s="76" t="s">
        <v>465</v>
      </c>
      <c r="J498" s="76" t="s">
        <v>366</v>
      </c>
      <c r="K498" s="77">
        <v>41948</v>
      </c>
      <c r="L498" s="76" t="s">
        <v>475</v>
      </c>
      <c r="M498" s="76" t="s">
        <v>981</v>
      </c>
      <c r="N498" s="76">
        <v>250</v>
      </c>
      <c r="O498" s="76">
        <v>238</v>
      </c>
      <c r="P498" s="78">
        <v>4.8000000000000001E-2</v>
      </c>
    </row>
    <row r="499" spans="7:16" x14ac:dyDescent="0.3">
      <c r="G499" t="s">
        <v>1533</v>
      </c>
      <c r="H499" s="76" t="s">
        <v>485</v>
      </c>
      <c r="I499" s="76" t="s">
        <v>389</v>
      </c>
      <c r="J499" s="76" t="s">
        <v>384</v>
      </c>
      <c r="K499" s="77">
        <v>42527</v>
      </c>
      <c r="L499" s="76" t="s">
        <v>483</v>
      </c>
      <c r="M499" s="76" t="s">
        <v>1534</v>
      </c>
      <c r="N499" s="76">
        <v>50</v>
      </c>
      <c r="O499" s="76">
        <v>49</v>
      </c>
      <c r="P499" s="78">
        <v>0.02</v>
      </c>
    </row>
    <row r="500" spans="7:16" x14ac:dyDescent="0.3">
      <c r="G500" t="s">
        <v>1535</v>
      </c>
      <c r="H500" s="76" t="s">
        <v>399</v>
      </c>
      <c r="I500" s="76" t="s">
        <v>400</v>
      </c>
      <c r="J500" s="76" t="s">
        <v>372</v>
      </c>
      <c r="K500" s="76" t="s">
        <v>616</v>
      </c>
      <c r="L500" s="76" t="s">
        <v>373</v>
      </c>
      <c r="M500" s="76" t="s">
        <v>1536</v>
      </c>
      <c r="N500" s="76">
        <v>700</v>
      </c>
      <c r="O500" s="76">
        <v>630</v>
      </c>
      <c r="P500" s="78">
        <v>0.1</v>
      </c>
    </row>
    <row r="501" spans="7:16" x14ac:dyDescent="0.3">
      <c r="G501" t="s">
        <v>1537</v>
      </c>
      <c r="H501" s="76" t="s">
        <v>489</v>
      </c>
      <c r="I501" s="76" t="s">
        <v>490</v>
      </c>
      <c r="J501" s="76" t="s">
        <v>360</v>
      </c>
      <c r="K501" s="76" t="s">
        <v>1538</v>
      </c>
      <c r="L501" s="76" t="s">
        <v>385</v>
      </c>
      <c r="M501" s="76" t="s">
        <v>1539</v>
      </c>
      <c r="N501" s="76">
        <v>50</v>
      </c>
      <c r="O501" s="76">
        <v>48</v>
      </c>
      <c r="P501" s="78">
        <v>0.04</v>
      </c>
    </row>
    <row r="502" spans="7:16" x14ac:dyDescent="0.3">
      <c r="G502" t="s">
        <v>1540</v>
      </c>
      <c r="H502" s="76" t="s">
        <v>747</v>
      </c>
      <c r="I502" s="76" t="s">
        <v>748</v>
      </c>
      <c r="J502" s="76" t="s">
        <v>360</v>
      </c>
      <c r="K502" s="76" t="s">
        <v>1541</v>
      </c>
      <c r="L502" s="76" t="s">
        <v>396</v>
      </c>
      <c r="M502" s="76" t="s">
        <v>1542</v>
      </c>
      <c r="N502" s="76">
        <v>500</v>
      </c>
      <c r="O502" s="76">
        <v>500</v>
      </c>
      <c r="P502" s="78">
        <v>0</v>
      </c>
    </row>
    <row r="503" spans="7:16" x14ac:dyDescent="0.3">
      <c r="G503" t="s">
        <v>1543</v>
      </c>
      <c r="H503" s="76" t="s">
        <v>638</v>
      </c>
      <c r="I503" s="76" t="s">
        <v>639</v>
      </c>
      <c r="J503" s="76" t="s">
        <v>360</v>
      </c>
      <c r="K503" s="77">
        <v>42746</v>
      </c>
      <c r="L503" s="76" t="s">
        <v>391</v>
      </c>
      <c r="M503" s="76" t="s">
        <v>698</v>
      </c>
      <c r="N503" s="76">
        <v>30</v>
      </c>
      <c r="O503" s="76">
        <v>29</v>
      </c>
      <c r="P503" s="78">
        <v>3.3300000000000003E-2</v>
      </c>
    </row>
    <row r="504" spans="7:16" x14ac:dyDescent="0.3">
      <c r="G504" t="s">
        <v>1544</v>
      </c>
      <c r="H504" s="76" t="s">
        <v>528</v>
      </c>
      <c r="I504" s="76" t="s">
        <v>465</v>
      </c>
      <c r="J504" s="76" t="s">
        <v>366</v>
      </c>
      <c r="K504" s="76" t="s">
        <v>822</v>
      </c>
      <c r="L504" s="76" t="s">
        <v>424</v>
      </c>
      <c r="M504" s="76" t="s">
        <v>1545</v>
      </c>
      <c r="N504" s="76">
        <v>500</v>
      </c>
      <c r="O504" s="76">
        <v>495</v>
      </c>
      <c r="P504" s="78">
        <v>0.01</v>
      </c>
    </row>
    <row r="505" spans="7:16" x14ac:dyDescent="0.3">
      <c r="G505" t="s">
        <v>1546</v>
      </c>
      <c r="H505" s="76" t="s">
        <v>700</v>
      </c>
      <c r="I505" s="76" t="s">
        <v>465</v>
      </c>
      <c r="J505" s="76" t="s">
        <v>366</v>
      </c>
      <c r="K505" s="76" t="s">
        <v>1547</v>
      </c>
      <c r="L505" s="76" t="s">
        <v>379</v>
      </c>
      <c r="M505" s="76" t="s">
        <v>778</v>
      </c>
      <c r="N505" s="76">
        <v>150</v>
      </c>
      <c r="O505" s="76">
        <v>149</v>
      </c>
      <c r="P505" s="78">
        <v>6.7000000000000002E-3</v>
      </c>
    </row>
    <row r="506" spans="7:16" x14ac:dyDescent="0.3">
      <c r="G506" t="s">
        <v>1548</v>
      </c>
      <c r="H506" s="76" t="s">
        <v>464</v>
      </c>
      <c r="I506" s="76" t="s">
        <v>465</v>
      </c>
      <c r="J506" s="76" t="s">
        <v>366</v>
      </c>
      <c r="K506" s="77">
        <v>42135</v>
      </c>
      <c r="L506" s="76" t="s">
        <v>461</v>
      </c>
      <c r="M506" s="76" t="s">
        <v>467</v>
      </c>
      <c r="N506" s="76">
        <v>70</v>
      </c>
      <c r="O506" s="76">
        <v>54</v>
      </c>
      <c r="P506" s="78">
        <v>0.2286</v>
      </c>
    </row>
    <row r="507" spans="7:16" x14ac:dyDescent="0.3">
      <c r="G507" t="s">
        <v>1549</v>
      </c>
      <c r="H507" s="76" t="s">
        <v>414</v>
      </c>
      <c r="I507" s="76" t="s">
        <v>415</v>
      </c>
      <c r="J507" s="76" t="s">
        <v>384</v>
      </c>
      <c r="K507" s="77">
        <v>43132</v>
      </c>
      <c r="L507" s="76" t="s">
        <v>424</v>
      </c>
      <c r="M507" s="76" t="s">
        <v>417</v>
      </c>
      <c r="N507" s="76">
        <v>500</v>
      </c>
      <c r="O507" s="76">
        <v>490</v>
      </c>
      <c r="P507" s="78">
        <v>0.02</v>
      </c>
    </row>
    <row r="508" spans="7:16" x14ac:dyDescent="0.3">
      <c r="G508" t="s">
        <v>1550</v>
      </c>
      <c r="H508" s="76" t="s">
        <v>891</v>
      </c>
      <c r="I508" s="76" t="s">
        <v>892</v>
      </c>
      <c r="J508" s="76" t="s">
        <v>372</v>
      </c>
      <c r="K508" s="77">
        <v>42039</v>
      </c>
      <c r="L508" s="76" t="s">
        <v>483</v>
      </c>
      <c r="M508" s="76" t="s">
        <v>1333</v>
      </c>
      <c r="N508" s="76">
        <v>50</v>
      </c>
      <c r="O508" s="76">
        <v>46</v>
      </c>
      <c r="P508" s="78">
        <v>0.08</v>
      </c>
    </row>
    <row r="509" spans="7:16" x14ac:dyDescent="0.3">
      <c r="G509" t="s">
        <v>1551</v>
      </c>
      <c r="H509" s="76" t="s">
        <v>394</v>
      </c>
      <c r="I509" s="76" t="s">
        <v>395</v>
      </c>
      <c r="J509" s="76" t="s">
        <v>372</v>
      </c>
      <c r="K509" s="77">
        <v>42796</v>
      </c>
      <c r="L509" s="76" t="s">
        <v>405</v>
      </c>
      <c r="M509" s="76" t="s">
        <v>654</v>
      </c>
      <c r="N509" s="76">
        <v>800</v>
      </c>
      <c r="O509" s="76">
        <v>600</v>
      </c>
      <c r="P509" s="78">
        <v>0.25</v>
      </c>
    </row>
    <row r="510" spans="7:16" x14ac:dyDescent="0.3">
      <c r="G510" t="s">
        <v>1552</v>
      </c>
      <c r="H510" s="76" t="s">
        <v>403</v>
      </c>
      <c r="I510" s="76" t="s">
        <v>404</v>
      </c>
      <c r="J510" s="76" t="s">
        <v>360</v>
      </c>
      <c r="K510" s="76" t="s">
        <v>1553</v>
      </c>
      <c r="L510" s="76" t="s">
        <v>373</v>
      </c>
      <c r="M510" s="76" t="s">
        <v>406</v>
      </c>
      <c r="N510" s="76">
        <v>700</v>
      </c>
      <c r="O510" s="76">
        <v>665</v>
      </c>
      <c r="P510" s="78">
        <v>0.05</v>
      </c>
    </row>
    <row r="511" spans="7:16" x14ac:dyDescent="0.3">
      <c r="G511" t="s">
        <v>1554</v>
      </c>
      <c r="H511" s="76" t="s">
        <v>638</v>
      </c>
      <c r="I511" s="76" t="s">
        <v>639</v>
      </c>
      <c r="J511" s="76" t="s">
        <v>360</v>
      </c>
      <c r="K511" s="76" t="s">
        <v>1555</v>
      </c>
      <c r="L511" s="76" t="s">
        <v>396</v>
      </c>
      <c r="M511" s="76" t="s">
        <v>880</v>
      </c>
      <c r="N511" s="76">
        <v>500</v>
      </c>
      <c r="O511" s="76">
        <v>480</v>
      </c>
      <c r="P511" s="78">
        <v>0.04</v>
      </c>
    </row>
    <row r="512" spans="7:16" x14ac:dyDescent="0.3">
      <c r="G512" t="s">
        <v>1556</v>
      </c>
      <c r="H512" s="76" t="s">
        <v>429</v>
      </c>
      <c r="I512" s="76" t="s">
        <v>430</v>
      </c>
      <c r="J512" s="76" t="s">
        <v>384</v>
      </c>
      <c r="K512" s="76" t="s">
        <v>1557</v>
      </c>
      <c r="L512" s="76" t="s">
        <v>405</v>
      </c>
      <c r="M512" s="76" t="s">
        <v>740</v>
      </c>
      <c r="N512" s="76">
        <v>800</v>
      </c>
      <c r="O512" s="76">
        <v>528</v>
      </c>
      <c r="P512" s="78">
        <v>0.34</v>
      </c>
    </row>
    <row r="513" spans="7:16" x14ac:dyDescent="0.3">
      <c r="G513" t="s">
        <v>1558</v>
      </c>
      <c r="H513" s="76" t="s">
        <v>485</v>
      </c>
      <c r="I513" s="76" t="s">
        <v>389</v>
      </c>
      <c r="J513" s="76" t="s">
        <v>384</v>
      </c>
      <c r="K513" s="77">
        <v>43316</v>
      </c>
      <c r="L513" s="76" t="s">
        <v>475</v>
      </c>
      <c r="M513" s="76" t="s">
        <v>1082</v>
      </c>
      <c r="N513" s="76">
        <v>250</v>
      </c>
      <c r="O513" s="76">
        <v>225</v>
      </c>
      <c r="P513" s="78">
        <v>0.1</v>
      </c>
    </row>
    <row r="514" spans="7:16" x14ac:dyDescent="0.3">
      <c r="G514" t="s">
        <v>1559</v>
      </c>
      <c r="H514" s="76" t="s">
        <v>560</v>
      </c>
      <c r="I514" s="76" t="s">
        <v>465</v>
      </c>
      <c r="J514" s="76" t="s">
        <v>366</v>
      </c>
      <c r="K514" s="76" t="s">
        <v>1560</v>
      </c>
      <c r="L514" s="76" t="s">
        <v>379</v>
      </c>
      <c r="M514" s="76" t="s">
        <v>983</v>
      </c>
      <c r="N514" s="76">
        <v>150</v>
      </c>
      <c r="O514" s="76">
        <v>113</v>
      </c>
      <c r="P514" s="78">
        <v>0.2467</v>
      </c>
    </row>
    <row r="515" spans="7:16" x14ac:dyDescent="0.3">
      <c r="G515" t="s">
        <v>1561</v>
      </c>
      <c r="H515" s="76" t="s">
        <v>619</v>
      </c>
      <c r="I515" s="76" t="s">
        <v>620</v>
      </c>
      <c r="J515" s="76" t="s">
        <v>372</v>
      </c>
      <c r="K515" s="77">
        <v>42523</v>
      </c>
      <c r="L515" s="76" t="s">
        <v>396</v>
      </c>
      <c r="M515" s="76" t="s">
        <v>1562</v>
      </c>
      <c r="N515" s="76">
        <v>500</v>
      </c>
      <c r="O515" s="76">
        <v>440</v>
      </c>
      <c r="P515" s="78">
        <v>0.12</v>
      </c>
    </row>
    <row r="516" spans="7:16" x14ac:dyDescent="0.3">
      <c r="G516" t="s">
        <v>1563</v>
      </c>
      <c r="H516" s="76" t="s">
        <v>444</v>
      </c>
      <c r="I516" s="76" t="s">
        <v>445</v>
      </c>
      <c r="J516" s="76" t="s">
        <v>384</v>
      </c>
      <c r="K516" s="77">
        <v>42096</v>
      </c>
      <c r="L516" s="76" t="s">
        <v>461</v>
      </c>
      <c r="M516" s="76" t="s">
        <v>1564</v>
      </c>
      <c r="N516" s="76">
        <v>70</v>
      </c>
      <c r="O516" s="76">
        <v>44</v>
      </c>
      <c r="P516" s="78">
        <v>0.37140000000000001</v>
      </c>
    </row>
    <row r="517" spans="7:16" x14ac:dyDescent="0.3">
      <c r="G517" t="s">
        <v>1565</v>
      </c>
      <c r="H517" s="76" t="s">
        <v>547</v>
      </c>
      <c r="I517" s="76" t="s">
        <v>548</v>
      </c>
      <c r="J517" s="76" t="s">
        <v>360</v>
      </c>
      <c r="K517" s="76" t="s">
        <v>1566</v>
      </c>
      <c r="L517" s="76" t="s">
        <v>475</v>
      </c>
      <c r="M517" s="76" t="s">
        <v>1567</v>
      </c>
      <c r="N517" s="76">
        <v>250</v>
      </c>
      <c r="O517" s="76">
        <v>73</v>
      </c>
      <c r="P517" s="78">
        <v>0.70799999999999996</v>
      </c>
    </row>
    <row r="518" spans="7:16" x14ac:dyDescent="0.3">
      <c r="G518" t="s">
        <v>1568</v>
      </c>
      <c r="H518" s="76" t="s">
        <v>485</v>
      </c>
      <c r="I518" s="76" t="s">
        <v>389</v>
      </c>
      <c r="J518" s="76" t="s">
        <v>384</v>
      </c>
      <c r="K518" s="76" t="s">
        <v>1569</v>
      </c>
      <c r="L518" s="76" t="s">
        <v>385</v>
      </c>
      <c r="M518" s="76" t="s">
        <v>1534</v>
      </c>
      <c r="N518" s="76">
        <v>50</v>
      </c>
      <c r="O518" s="76">
        <v>34</v>
      </c>
      <c r="P518" s="78">
        <v>0.32</v>
      </c>
    </row>
    <row r="519" spans="7:16" x14ac:dyDescent="0.3">
      <c r="G519" t="s">
        <v>1570</v>
      </c>
      <c r="H519" s="76" t="s">
        <v>845</v>
      </c>
      <c r="I519" s="76" t="s">
        <v>846</v>
      </c>
      <c r="J519" s="76" t="s">
        <v>360</v>
      </c>
      <c r="K519" s="76" t="s">
        <v>693</v>
      </c>
      <c r="L519" s="76" t="s">
        <v>361</v>
      </c>
      <c r="M519" s="76" t="s">
        <v>1139</v>
      </c>
      <c r="N519" s="76">
        <v>80</v>
      </c>
      <c r="O519" s="76">
        <v>78</v>
      </c>
      <c r="P519" s="78">
        <v>2.5000000000000001E-2</v>
      </c>
    </row>
    <row r="520" spans="7:16" x14ac:dyDescent="0.3">
      <c r="G520" t="s">
        <v>1571</v>
      </c>
      <c r="H520" s="76" t="s">
        <v>414</v>
      </c>
      <c r="I520" s="76" t="s">
        <v>415</v>
      </c>
      <c r="J520" s="76" t="s">
        <v>384</v>
      </c>
      <c r="K520" s="76" t="s">
        <v>1572</v>
      </c>
      <c r="L520" s="76" t="s">
        <v>379</v>
      </c>
      <c r="M520" s="76" t="s">
        <v>715</v>
      </c>
      <c r="N520" s="76">
        <v>150</v>
      </c>
      <c r="O520" s="76">
        <v>149</v>
      </c>
      <c r="P520" s="78">
        <v>6.7000000000000002E-3</v>
      </c>
    </row>
    <row r="521" spans="7:16" x14ac:dyDescent="0.3">
      <c r="G521" t="s">
        <v>1573</v>
      </c>
      <c r="H521" s="76" t="s">
        <v>464</v>
      </c>
      <c r="I521" s="76" t="s">
        <v>465</v>
      </c>
      <c r="J521" s="76" t="s">
        <v>366</v>
      </c>
      <c r="K521" s="76" t="s">
        <v>1574</v>
      </c>
      <c r="L521" s="76" t="s">
        <v>475</v>
      </c>
      <c r="M521" s="76" t="s">
        <v>1575</v>
      </c>
      <c r="N521" s="76">
        <v>250</v>
      </c>
      <c r="O521" s="76">
        <v>250</v>
      </c>
      <c r="P521" s="78">
        <v>0</v>
      </c>
    </row>
    <row r="522" spans="7:16" x14ac:dyDescent="0.3">
      <c r="G522" t="s">
        <v>1576</v>
      </c>
      <c r="H522" s="76" t="s">
        <v>454</v>
      </c>
      <c r="I522" s="76" t="s">
        <v>455</v>
      </c>
      <c r="J522" s="76" t="s">
        <v>360</v>
      </c>
      <c r="K522" s="77">
        <v>42890</v>
      </c>
      <c r="L522" s="76" t="s">
        <v>373</v>
      </c>
      <c r="M522" s="76" t="s">
        <v>1577</v>
      </c>
      <c r="N522" s="76">
        <v>700</v>
      </c>
      <c r="O522" s="76">
        <v>665</v>
      </c>
      <c r="P522" s="78">
        <v>0.05</v>
      </c>
    </row>
    <row r="523" spans="7:16" x14ac:dyDescent="0.3">
      <c r="G523" t="s">
        <v>1578</v>
      </c>
      <c r="H523" s="76" t="s">
        <v>591</v>
      </c>
      <c r="I523" s="76" t="s">
        <v>592</v>
      </c>
      <c r="J523" s="76" t="s">
        <v>372</v>
      </c>
      <c r="K523" s="76" t="s">
        <v>1579</v>
      </c>
      <c r="L523" s="76" t="s">
        <v>379</v>
      </c>
      <c r="M523" s="76" t="s">
        <v>1327</v>
      </c>
      <c r="N523" s="76">
        <v>150</v>
      </c>
      <c r="O523" s="76">
        <v>140</v>
      </c>
      <c r="P523" s="78">
        <v>6.6699999999999995E-2</v>
      </c>
    </row>
    <row r="524" spans="7:16" x14ac:dyDescent="0.3">
      <c r="G524" t="s">
        <v>1580</v>
      </c>
      <c r="H524" s="76" t="s">
        <v>638</v>
      </c>
      <c r="I524" s="76" t="s">
        <v>639</v>
      </c>
      <c r="J524" s="76" t="s">
        <v>360</v>
      </c>
      <c r="K524" s="77">
        <v>43009</v>
      </c>
      <c r="L524" s="76" t="s">
        <v>405</v>
      </c>
      <c r="M524" s="76" t="s">
        <v>1353</v>
      </c>
      <c r="N524" s="76">
        <v>800</v>
      </c>
      <c r="O524" s="76">
        <v>792</v>
      </c>
      <c r="P524" s="78">
        <v>0.01</v>
      </c>
    </row>
    <row r="525" spans="7:16" x14ac:dyDescent="0.3">
      <c r="G525" t="s">
        <v>1581</v>
      </c>
      <c r="H525" s="76" t="s">
        <v>444</v>
      </c>
      <c r="I525" s="76" t="s">
        <v>445</v>
      </c>
      <c r="J525" s="76" t="s">
        <v>384</v>
      </c>
      <c r="K525" s="76" t="s">
        <v>1582</v>
      </c>
      <c r="L525" s="76" t="s">
        <v>379</v>
      </c>
      <c r="M525" s="76" t="s">
        <v>1516</v>
      </c>
      <c r="N525" s="76">
        <v>150</v>
      </c>
      <c r="O525" s="76">
        <v>138</v>
      </c>
      <c r="P525" s="78">
        <v>0.08</v>
      </c>
    </row>
    <row r="526" spans="7:16" x14ac:dyDescent="0.3">
      <c r="G526" t="s">
        <v>1583</v>
      </c>
      <c r="H526" s="76" t="s">
        <v>434</v>
      </c>
      <c r="I526" s="76" t="s">
        <v>435</v>
      </c>
      <c r="J526" s="76" t="s">
        <v>360</v>
      </c>
      <c r="K526" s="77">
        <v>42074</v>
      </c>
      <c r="L526" s="76" t="s">
        <v>391</v>
      </c>
      <c r="M526" s="76" t="s">
        <v>1584</v>
      </c>
      <c r="N526" s="76">
        <v>30</v>
      </c>
      <c r="O526" s="76">
        <v>23</v>
      </c>
      <c r="P526" s="78">
        <v>0.23330000000000001</v>
      </c>
    </row>
    <row r="527" spans="7:16" x14ac:dyDescent="0.3">
      <c r="G527" t="s">
        <v>1585</v>
      </c>
      <c r="H527" s="76" t="s">
        <v>399</v>
      </c>
      <c r="I527" s="76" t="s">
        <v>400</v>
      </c>
      <c r="J527" s="76" t="s">
        <v>372</v>
      </c>
      <c r="K527" s="76" t="s">
        <v>1586</v>
      </c>
      <c r="L527" s="76" t="s">
        <v>361</v>
      </c>
      <c r="M527" s="76" t="s">
        <v>1286</v>
      </c>
      <c r="N527" s="76">
        <v>80</v>
      </c>
      <c r="O527" s="76">
        <v>78</v>
      </c>
      <c r="P527" s="78">
        <v>2.5000000000000001E-2</v>
      </c>
    </row>
    <row r="528" spans="7:16" x14ac:dyDescent="0.3">
      <c r="G528" t="s">
        <v>1587</v>
      </c>
      <c r="H528" s="76" t="s">
        <v>364</v>
      </c>
      <c r="I528" s="76" t="s">
        <v>365</v>
      </c>
      <c r="J528" s="76" t="s">
        <v>366</v>
      </c>
      <c r="K528" s="76" t="s">
        <v>1588</v>
      </c>
      <c r="L528" s="76" t="s">
        <v>385</v>
      </c>
      <c r="M528" s="76" t="s">
        <v>1454</v>
      </c>
      <c r="N528" s="76">
        <v>50</v>
      </c>
      <c r="O528" s="76">
        <v>49</v>
      </c>
      <c r="P528" s="78">
        <v>0.02</v>
      </c>
    </row>
    <row r="529" spans="7:16" x14ac:dyDescent="0.3">
      <c r="G529" t="s">
        <v>1589</v>
      </c>
      <c r="H529" s="76" t="s">
        <v>566</v>
      </c>
      <c r="I529" s="76" t="s">
        <v>567</v>
      </c>
      <c r="J529" s="76" t="s">
        <v>360</v>
      </c>
      <c r="K529" s="76" t="s">
        <v>1590</v>
      </c>
      <c r="L529" s="76" t="s">
        <v>475</v>
      </c>
      <c r="M529" s="76" t="s">
        <v>1370</v>
      </c>
      <c r="N529" s="76">
        <v>250</v>
      </c>
      <c r="O529" s="76">
        <v>235</v>
      </c>
      <c r="P529" s="78">
        <v>0.06</v>
      </c>
    </row>
    <row r="530" spans="7:16" x14ac:dyDescent="0.3">
      <c r="G530" t="s">
        <v>1591</v>
      </c>
      <c r="H530" s="76" t="s">
        <v>560</v>
      </c>
      <c r="I530" s="76" t="s">
        <v>465</v>
      </c>
      <c r="J530" s="76" t="s">
        <v>366</v>
      </c>
      <c r="K530" s="77">
        <v>42011</v>
      </c>
      <c r="L530" s="76" t="s">
        <v>424</v>
      </c>
      <c r="M530" s="76" t="s">
        <v>1592</v>
      </c>
      <c r="N530" s="76">
        <v>500</v>
      </c>
      <c r="O530" s="76">
        <v>490</v>
      </c>
      <c r="P530" s="78">
        <v>0.02</v>
      </c>
    </row>
    <row r="531" spans="7:16" x14ac:dyDescent="0.3">
      <c r="G531" t="s">
        <v>1593</v>
      </c>
      <c r="H531" s="76" t="s">
        <v>845</v>
      </c>
      <c r="I531" s="76" t="s">
        <v>846</v>
      </c>
      <c r="J531" s="76" t="s">
        <v>360</v>
      </c>
      <c r="K531" s="77">
        <v>41678</v>
      </c>
      <c r="L531" s="76" t="s">
        <v>373</v>
      </c>
      <c r="M531" s="76" t="s">
        <v>1264</v>
      </c>
      <c r="N531" s="76">
        <v>700</v>
      </c>
      <c r="O531" s="76">
        <v>525</v>
      </c>
      <c r="P531" s="78">
        <v>0.25</v>
      </c>
    </row>
    <row r="532" spans="7:16" x14ac:dyDescent="0.3">
      <c r="G532" t="s">
        <v>1594</v>
      </c>
      <c r="H532" s="76" t="s">
        <v>638</v>
      </c>
      <c r="I532" s="76" t="s">
        <v>639</v>
      </c>
      <c r="J532" s="76" t="s">
        <v>360</v>
      </c>
      <c r="K532" s="76" t="s">
        <v>505</v>
      </c>
      <c r="L532" s="76" t="s">
        <v>361</v>
      </c>
      <c r="M532" s="76" t="s">
        <v>698</v>
      </c>
      <c r="N532" s="76">
        <v>80</v>
      </c>
      <c r="O532" s="76">
        <v>74</v>
      </c>
      <c r="P532" s="78">
        <v>7.4999999999999997E-2</v>
      </c>
    </row>
    <row r="533" spans="7:16" x14ac:dyDescent="0.3">
      <c r="G533" t="s">
        <v>1595</v>
      </c>
      <c r="H533" s="76" t="s">
        <v>421</v>
      </c>
      <c r="I533" s="76" t="s">
        <v>422</v>
      </c>
      <c r="J533" s="76" t="s">
        <v>384</v>
      </c>
      <c r="K533" s="77">
        <v>41890</v>
      </c>
      <c r="L533" s="76" t="s">
        <v>405</v>
      </c>
      <c r="M533" s="76" t="s">
        <v>1596</v>
      </c>
      <c r="N533" s="76">
        <v>800</v>
      </c>
      <c r="O533" s="76">
        <v>696</v>
      </c>
      <c r="P533" s="78">
        <v>0.13</v>
      </c>
    </row>
    <row r="534" spans="7:16" x14ac:dyDescent="0.3">
      <c r="G534" t="s">
        <v>1597</v>
      </c>
      <c r="H534" s="76" t="s">
        <v>747</v>
      </c>
      <c r="I534" s="76" t="s">
        <v>748</v>
      </c>
      <c r="J534" s="76" t="s">
        <v>360</v>
      </c>
      <c r="K534" s="76" t="s">
        <v>1598</v>
      </c>
      <c r="L534" s="76" t="s">
        <v>483</v>
      </c>
      <c r="M534" s="76" t="s">
        <v>749</v>
      </c>
      <c r="N534" s="76">
        <v>50</v>
      </c>
      <c r="O534" s="76">
        <v>50</v>
      </c>
      <c r="P534" s="78">
        <v>0</v>
      </c>
    </row>
    <row r="535" spans="7:16" x14ac:dyDescent="0.3">
      <c r="G535" t="s">
        <v>1599</v>
      </c>
      <c r="H535" s="76" t="s">
        <v>668</v>
      </c>
      <c r="I535" s="76" t="s">
        <v>669</v>
      </c>
      <c r="J535" s="76" t="s">
        <v>360</v>
      </c>
      <c r="K535" s="76" t="s">
        <v>1342</v>
      </c>
      <c r="L535" s="76" t="s">
        <v>385</v>
      </c>
      <c r="M535" s="76" t="s">
        <v>1115</v>
      </c>
      <c r="N535" s="76">
        <v>50</v>
      </c>
      <c r="O535" s="76">
        <v>50</v>
      </c>
      <c r="P535" s="78">
        <v>0</v>
      </c>
    </row>
    <row r="536" spans="7:16" x14ac:dyDescent="0.3">
      <c r="G536" t="s">
        <v>1600</v>
      </c>
      <c r="H536" s="76" t="s">
        <v>489</v>
      </c>
      <c r="I536" s="76" t="s">
        <v>490</v>
      </c>
      <c r="J536" s="76" t="s">
        <v>360</v>
      </c>
      <c r="K536" s="76" t="s">
        <v>1601</v>
      </c>
      <c r="L536" s="76" t="s">
        <v>475</v>
      </c>
      <c r="M536" s="76" t="s">
        <v>627</v>
      </c>
      <c r="N536" s="76">
        <v>250</v>
      </c>
      <c r="O536" s="76">
        <v>225</v>
      </c>
      <c r="P536" s="78">
        <v>0.1</v>
      </c>
    </row>
    <row r="537" spans="7:16" x14ac:dyDescent="0.3">
      <c r="G537" t="s">
        <v>1602</v>
      </c>
      <c r="H537" s="76" t="s">
        <v>449</v>
      </c>
      <c r="I537" s="76" t="s">
        <v>450</v>
      </c>
      <c r="J537" s="76" t="s">
        <v>360</v>
      </c>
      <c r="K537" s="76" t="s">
        <v>661</v>
      </c>
      <c r="L537" s="76" t="s">
        <v>405</v>
      </c>
      <c r="M537" s="76" t="s">
        <v>606</v>
      </c>
      <c r="N537" s="76">
        <v>800</v>
      </c>
      <c r="O537" s="76">
        <v>760</v>
      </c>
      <c r="P537" s="78">
        <v>0.05</v>
      </c>
    </row>
    <row r="538" spans="7:16" x14ac:dyDescent="0.3">
      <c r="G538" t="s">
        <v>1603</v>
      </c>
      <c r="H538" s="76" t="s">
        <v>444</v>
      </c>
      <c r="I538" s="76" t="s">
        <v>445</v>
      </c>
      <c r="J538" s="76" t="s">
        <v>384</v>
      </c>
      <c r="K538" s="76" t="s">
        <v>1604</v>
      </c>
      <c r="L538" s="76" t="s">
        <v>483</v>
      </c>
      <c r="M538" s="76" t="s">
        <v>975</v>
      </c>
      <c r="N538" s="76">
        <v>50</v>
      </c>
      <c r="O538" s="76">
        <v>49</v>
      </c>
      <c r="P538" s="78">
        <v>0.02</v>
      </c>
    </row>
    <row r="539" spans="7:16" x14ac:dyDescent="0.3">
      <c r="G539" t="s">
        <v>1605</v>
      </c>
      <c r="H539" s="76" t="s">
        <v>514</v>
      </c>
      <c r="I539" s="76" t="s">
        <v>515</v>
      </c>
      <c r="J539" s="76" t="s">
        <v>360</v>
      </c>
      <c r="K539" s="76" t="s">
        <v>1606</v>
      </c>
      <c r="L539" s="76" t="s">
        <v>424</v>
      </c>
      <c r="M539" s="76" t="s">
        <v>1281</v>
      </c>
      <c r="N539" s="76">
        <v>500</v>
      </c>
      <c r="O539" s="76">
        <v>495</v>
      </c>
      <c r="P539" s="78">
        <v>0.01</v>
      </c>
    </row>
    <row r="540" spans="7:16" x14ac:dyDescent="0.3">
      <c r="G540" t="s">
        <v>1607</v>
      </c>
      <c r="H540" s="76" t="s">
        <v>485</v>
      </c>
      <c r="I540" s="76" t="s">
        <v>389</v>
      </c>
      <c r="J540" s="76" t="s">
        <v>384</v>
      </c>
      <c r="K540" s="76" t="s">
        <v>905</v>
      </c>
      <c r="L540" s="76" t="s">
        <v>475</v>
      </c>
      <c r="M540" s="76" t="s">
        <v>1608</v>
      </c>
      <c r="N540" s="76">
        <v>250</v>
      </c>
      <c r="O540" s="76">
        <v>213</v>
      </c>
      <c r="P540" s="78">
        <v>0.14799999999999999</v>
      </c>
    </row>
    <row r="541" spans="7:16" x14ac:dyDescent="0.3">
      <c r="G541" t="s">
        <v>1609</v>
      </c>
      <c r="H541" s="76" t="s">
        <v>700</v>
      </c>
      <c r="I541" s="76" t="s">
        <v>465</v>
      </c>
      <c r="J541" s="76" t="s">
        <v>366</v>
      </c>
      <c r="K541" s="76" t="s">
        <v>1610</v>
      </c>
      <c r="L541" s="76" t="s">
        <v>373</v>
      </c>
      <c r="M541" s="76" t="s">
        <v>1611</v>
      </c>
      <c r="N541" s="76">
        <v>700</v>
      </c>
      <c r="O541" s="76">
        <v>693</v>
      </c>
      <c r="P541" s="78">
        <v>0.01</v>
      </c>
    </row>
    <row r="542" spans="7:16" x14ac:dyDescent="0.3">
      <c r="G542" t="s">
        <v>1612</v>
      </c>
      <c r="H542" s="76" t="s">
        <v>434</v>
      </c>
      <c r="I542" s="76" t="s">
        <v>435</v>
      </c>
      <c r="J542" s="76" t="s">
        <v>360</v>
      </c>
      <c r="K542" s="77">
        <v>42654</v>
      </c>
      <c r="L542" s="76" t="s">
        <v>391</v>
      </c>
      <c r="M542" s="76" t="s">
        <v>436</v>
      </c>
      <c r="N542" s="76">
        <v>30</v>
      </c>
      <c r="O542" s="76">
        <v>28</v>
      </c>
      <c r="P542" s="78">
        <v>6.6699999999999995E-2</v>
      </c>
    </row>
    <row r="543" spans="7:16" x14ac:dyDescent="0.3">
      <c r="G543" t="s">
        <v>1613</v>
      </c>
      <c r="H543" s="76" t="s">
        <v>656</v>
      </c>
      <c r="I543" s="76" t="s">
        <v>657</v>
      </c>
      <c r="J543" s="76" t="s">
        <v>360</v>
      </c>
      <c r="K543" s="77">
        <v>42282</v>
      </c>
      <c r="L543" s="76" t="s">
        <v>373</v>
      </c>
      <c r="M543" s="76" t="s">
        <v>659</v>
      </c>
      <c r="N543" s="76">
        <v>700</v>
      </c>
      <c r="O543" s="76">
        <v>518</v>
      </c>
      <c r="P543" s="78">
        <v>0.26</v>
      </c>
    </row>
    <row r="544" spans="7:16" x14ac:dyDescent="0.3">
      <c r="G544" t="s">
        <v>1614</v>
      </c>
      <c r="H544" s="76" t="s">
        <v>394</v>
      </c>
      <c r="I544" s="76" t="s">
        <v>395</v>
      </c>
      <c r="J544" s="76" t="s">
        <v>372</v>
      </c>
      <c r="K544" s="77">
        <v>43106</v>
      </c>
      <c r="L544" s="76" t="s">
        <v>424</v>
      </c>
      <c r="M544" s="76" t="s">
        <v>887</v>
      </c>
      <c r="N544" s="76">
        <v>500</v>
      </c>
      <c r="O544" s="76">
        <v>495</v>
      </c>
      <c r="P544" s="78">
        <v>0.01</v>
      </c>
    </row>
    <row r="545" spans="7:16" x14ac:dyDescent="0.3">
      <c r="G545" t="s">
        <v>1615</v>
      </c>
      <c r="H545" s="76" t="s">
        <v>615</v>
      </c>
      <c r="I545" s="76" t="s">
        <v>400</v>
      </c>
      <c r="J545" s="76" t="s">
        <v>372</v>
      </c>
      <c r="K545" s="76" t="s">
        <v>1616</v>
      </c>
      <c r="L545" s="76" t="s">
        <v>391</v>
      </c>
      <c r="M545" s="76" t="s">
        <v>617</v>
      </c>
      <c r="N545" s="76">
        <v>30</v>
      </c>
      <c r="O545" s="76">
        <v>21</v>
      </c>
      <c r="P545" s="78">
        <v>0.3</v>
      </c>
    </row>
    <row r="546" spans="7:16" x14ac:dyDescent="0.3">
      <c r="G546" t="s">
        <v>1617</v>
      </c>
      <c r="H546" s="76" t="s">
        <v>494</v>
      </c>
      <c r="I546" s="76" t="s">
        <v>465</v>
      </c>
      <c r="J546" s="76" t="s">
        <v>366</v>
      </c>
      <c r="K546" s="76" t="s">
        <v>525</v>
      </c>
      <c r="L546" s="76" t="s">
        <v>411</v>
      </c>
      <c r="M546" s="76" t="s">
        <v>495</v>
      </c>
      <c r="N546" s="76">
        <v>1000</v>
      </c>
      <c r="O546" s="76">
        <v>700</v>
      </c>
      <c r="P546" s="78">
        <v>0.3</v>
      </c>
    </row>
    <row r="547" spans="7:16" x14ac:dyDescent="0.3">
      <c r="G547" t="s">
        <v>1618</v>
      </c>
      <c r="H547" s="76" t="s">
        <v>675</v>
      </c>
      <c r="I547" s="76" t="s">
        <v>676</v>
      </c>
      <c r="J547" s="76" t="s">
        <v>384</v>
      </c>
      <c r="K547" s="76" t="s">
        <v>1619</v>
      </c>
      <c r="L547" s="76" t="s">
        <v>385</v>
      </c>
      <c r="M547" s="76" t="s">
        <v>1071</v>
      </c>
      <c r="N547" s="76">
        <v>50</v>
      </c>
      <c r="O547" s="76">
        <v>32</v>
      </c>
      <c r="P547" s="78">
        <v>0.36</v>
      </c>
    </row>
    <row r="548" spans="7:16" x14ac:dyDescent="0.3">
      <c r="G548" t="s">
        <v>1620</v>
      </c>
      <c r="H548" s="76" t="s">
        <v>438</v>
      </c>
      <c r="I548" s="76" t="s">
        <v>439</v>
      </c>
      <c r="J548" s="76" t="s">
        <v>360</v>
      </c>
      <c r="K548" s="77">
        <v>42195</v>
      </c>
      <c r="L548" s="76" t="s">
        <v>405</v>
      </c>
      <c r="M548" s="76" t="s">
        <v>1002</v>
      </c>
      <c r="N548" s="76">
        <v>800</v>
      </c>
      <c r="O548" s="76">
        <v>632</v>
      </c>
      <c r="P548" s="78">
        <v>0.21</v>
      </c>
    </row>
    <row r="549" spans="7:16" x14ac:dyDescent="0.3">
      <c r="G549" t="s">
        <v>1621</v>
      </c>
      <c r="H549" s="76" t="s">
        <v>528</v>
      </c>
      <c r="I549" s="76" t="s">
        <v>465</v>
      </c>
      <c r="J549" s="76" t="s">
        <v>366</v>
      </c>
      <c r="K549" s="76" t="s">
        <v>1622</v>
      </c>
      <c r="L549" s="76" t="s">
        <v>396</v>
      </c>
      <c r="M549" s="76" t="s">
        <v>1623</v>
      </c>
      <c r="N549" s="76">
        <v>500</v>
      </c>
      <c r="O549" s="76">
        <v>450</v>
      </c>
      <c r="P549" s="78">
        <v>0.1</v>
      </c>
    </row>
    <row r="550" spans="7:16" x14ac:dyDescent="0.3">
      <c r="G550" t="s">
        <v>1624</v>
      </c>
      <c r="H550" s="76" t="s">
        <v>370</v>
      </c>
      <c r="I550" s="76" t="s">
        <v>371</v>
      </c>
      <c r="J550" s="76" t="s">
        <v>372</v>
      </c>
      <c r="K550" s="76" t="s">
        <v>1625</v>
      </c>
      <c r="L550" s="76" t="s">
        <v>385</v>
      </c>
      <c r="M550" s="76" t="s">
        <v>958</v>
      </c>
      <c r="N550" s="76">
        <v>50</v>
      </c>
      <c r="O550" s="76">
        <v>49</v>
      </c>
      <c r="P550" s="78">
        <v>0.02</v>
      </c>
    </row>
    <row r="551" spans="7:16" x14ac:dyDescent="0.3">
      <c r="G551" t="s">
        <v>1626</v>
      </c>
      <c r="H551" s="76" t="s">
        <v>619</v>
      </c>
      <c r="I551" s="76" t="s">
        <v>620</v>
      </c>
      <c r="J551" s="76" t="s">
        <v>372</v>
      </c>
      <c r="K551" s="76" t="s">
        <v>1175</v>
      </c>
      <c r="L551" s="76" t="s">
        <v>405</v>
      </c>
      <c r="M551" s="76" t="s">
        <v>1627</v>
      </c>
      <c r="N551" s="76">
        <v>800</v>
      </c>
      <c r="O551" s="76">
        <v>456</v>
      </c>
      <c r="P551" s="78">
        <v>0.43</v>
      </c>
    </row>
    <row r="552" spans="7:16" x14ac:dyDescent="0.3">
      <c r="G552" t="s">
        <v>1628</v>
      </c>
      <c r="H552" s="76" t="s">
        <v>668</v>
      </c>
      <c r="I552" s="76" t="s">
        <v>669</v>
      </c>
      <c r="J552" s="76" t="s">
        <v>360</v>
      </c>
      <c r="K552" s="77">
        <v>42005</v>
      </c>
      <c r="L552" s="76" t="s">
        <v>483</v>
      </c>
      <c r="M552" s="76" t="s">
        <v>736</v>
      </c>
      <c r="N552" s="76">
        <v>50</v>
      </c>
      <c r="O552" s="76">
        <v>31</v>
      </c>
      <c r="P552" s="78">
        <v>0.38</v>
      </c>
    </row>
    <row r="553" spans="7:16" x14ac:dyDescent="0.3">
      <c r="G553" t="s">
        <v>1629</v>
      </c>
      <c r="H553" s="76" t="s">
        <v>464</v>
      </c>
      <c r="I553" s="76" t="s">
        <v>465</v>
      </c>
      <c r="J553" s="76" t="s">
        <v>366</v>
      </c>
      <c r="K553" s="76" t="s">
        <v>1630</v>
      </c>
      <c r="L553" s="76" t="s">
        <v>361</v>
      </c>
      <c r="M553" s="76" t="s">
        <v>467</v>
      </c>
      <c r="N553" s="76">
        <v>80</v>
      </c>
      <c r="O553" s="76">
        <v>69</v>
      </c>
      <c r="P553" s="78">
        <v>0.13750000000000001</v>
      </c>
    </row>
    <row r="554" spans="7:16" x14ac:dyDescent="0.3">
      <c r="G554" t="s">
        <v>1631</v>
      </c>
      <c r="H554" s="76" t="s">
        <v>551</v>
      </c>
      <c r="I554" s="76" t="s">
        <v>552</v>
      </c>
      <c r="J554" s="76" t="s">
        <v>360</v>
      </c>
      <c r="K554" s="76" t="s">
        <v>1632</v>
      </c>
      <c r="L554" s="76" t="s">
        <v>361</v>
      </c>
      <c r="M554" s="76" t="s">
        <v>609</v>
      </c>
      <c r="N554" s="76">
        <v>80</v>
      </c>
      <c r="O554" s="76">
        <v>70</v>
      </c>
      <c r="P554" s="78">
        <v>0.125</v>
      </c>
    </row>
    <row r="555" spans="7:16" x14ac:dyDescent="0.3">
      <c r="G555" t="s">
        <v>1633</v>
      </c>
      <c r="H555" s="76" t="s">
        <v>376</v>
      </c>
      <c r="I555" s="76" t="s">
        <v>377</v>
      </c>
      <c r="J555" s="76" t="s">
        <v>360</v>
      </c>
      <c r="K555" s="76" t="s">
        <v>1634</v>
      </c>
      <c r="L555" s="76" t="s">
        <v>475</v>
      </c>
      <c r="M555" s="76" t="s">
        <v>906</v>
      </c>
      <c r="N555" s="76">
        <v>250</v>
      </c>
      <c r="O555" s="76">
        <v>240</v>
      </c>
      <c r="P555" s="78">
        <v>0.04</v>
      </c>
    </row>
    <row r="556" spans="7:16" x14ac:dyDescent="0.3">
      <c r="G556" t="s">
        <v>1635</v>
      </c>
      <c r="H556" s="76" t="s">
        <v>464</v>
      </c>
      <c r="I556" s="76" t="s">
        <v>465</v>
      </c>
      <c r="J556" s="76" t="s">
        <v>366</v>
      </c>
      <c r="K556" s="76" t="s">
        <v>1636</v>
      </c>
      <c r="L556" s="76" t="s">
        <v>379</v>
      </c>
      <c r="M556" s="76" t="s">
        <v>1575</v>
      </c>
      <c r="N556" s="76">
        <v>150</v>
      </c>
      <c r="O556" s="76">
        <v>132</v>
      </c>
      <c r="P556" s="78">
        <v>0.12</v>
      </c>
    </row>
    <row r="557" spans="7:16" x14ac:dyDescent="0.3">
      <c r="G557" t="s">
        <v>1637</v>
      </c>
      <c r="H557" s="76" t="s">
        <v>454</v>
      </c>
      <c r="I557" s="76" t="s">
        <v>455</v>
      </c>
      <c r="J557" s="76" t="s">
        <v>360</v>
      </c>
      <c r="K557" s="77">
        <v>42500</v>
      </c>
      <c r="L557" s="76" t="s">
        <v>391</v>
      </c>
      <c r="M557" s="76" t="s">
        <v>457</v>
      </c>
      <c r="N557" s="76">
        <v>30</v>
      </c>
      <c r="O557" s="76">
        <v>27</v>
      </c>
      <c r="P557" s="78">
        <v>0.1</v>
      </c>
    </row>
    <row r="558" spans="7:16" x14ac:dyDescent="0.3">
      <c r="G558" t="s">
        <v>1638</v>
      </c>
      <c r="H558" s="76" t="s">
        <v>566</v>
      </c>
      <c r="I558" s="76" t="s">
        <v>567</v>
      </c>
      <c r="J558" s="76" t="s">
        <v>360</v>
      </c>
      <c r="K558" s="77">
        <v>42284</v>
      </c>
      <c r="L558" s="76" t="s">
        <v>405</v>
      </c>
      <c r="M558" s="76" t="s">
        <v>1302</v>
      </c>
      <c r="N558" s="76">
        <v>800</v>
      </c>
      <c r="O558" s="76">
        <v>624</v>
      </c>
      <c r="P558" s="78">
        <v>0.22</v>
      </c>
    </row>
    <row r="559" spans="7:16" x14ac:dyDescent="0.3">
      <c r="G559" t="s">
        <v>1639</v>
      </c>
      <c r="H559" s="76" t="s">
        <v>524</v>
      </c>
      <c r="I559" s="76" t="s">
        <v>465</v>
      </c>
      <c r="J559" s="76" t="s">
        <v>366</v>
      </c>
      <c r="K559" s="76" t="s">
        <v>1048</v>
      </c>
      <c r="L559" s="76" t="s">
        <v>461</v>
      </c>
      <c r="M559" s="76" t="s">
        <v>1640</v>
      </c>
      <c r="N559" s="76">
        <v>70</v>
      </c>
      <c r="O559" s="76">
        <v>52</v>
      </c>
      <c r="P559" s="78">
        <v>0.2571</v>
      </c>
    </row>
    <row r="560" spans="7:16" x14ac:dyDescent="0.3">
      <c r="G560" t="s">
        <v>1641</v>
      </c>
      <c r="H560" s="76" t="s">
        <v>478</v>
      </c>
      <c r="I560" s="76" t="s">
        <v>479</v>
      </c>
      <c r="J560" s="76" t="s">
        <v>384</v>
      </c>
      <c r="K560" s="76" t="s">
        <v>1045</v>
      </c>
      <c r="L560" s="76" t="s">
        <v>361</v>
      </c>
      <c r="M560" s="76" t="s">
        <v>480</v>
      </c>
      <c r="N560" s="76">
        <v>80</v>
      </c>
      <c r="O560" s="76">
        <v>77</v>
      </c>
      <c r="P560" s="78">
        <v>3.7499999999999999E-2</v>
      </c>
    </row>
    <row r="561" spans="7:16" x14ac:dyDescent="0.3">
      <c r="G561" t="s">
        <v>1642</v>
      </c>
      <c r="H561" s="76" t="s">
        <v>394</v>
      </c>
      <c r="I561" s="76" t="s">
        <v>395</v>
      </c>
      <c r="J561" s="76" t="s">
        <v>372</v>
      </c>
      <c r="K561" s="76" t="s">
        <v>1643</v>
      </c>
      <c r="L561" s="76" t="s">
        <v>391</v>
      </c>
      <c r="M561" s="76" t="s">
        <v>654</v>
      </c>
      <c r="N561" s="76">
        <v>30</v>
      </c>
      <c r="O561" s="76">
        <v>27</v>
      </c>
      <c r="P561" s="78">
        <v>0.1</v>
      </c>
    </row>
    <row r="562" spans="7:16" x14ac:dyDescent="0.3">
      <c r="G562" t="s">
        <v>1644</v>
      </c>
      <c r="H562" s="76" t="s">
        <v>519</v>
      </c>
      <c r="I562" s="76" t="s">
        <v>520</v>
      </c>
      <c r="J562" s="76" t="s">
        <v>360</v>
      </c>
      <c r="K562" s="77">
        <v>42746</v>
      </c>
      <c r="L562" s="76" t="s">
        <v>385</v>
      </c>
      <c r="M562" s="76" t="s">
        <v>1343</v>
      </c>
      <c r="N562" s="76">
        <v>50</v>
      </c>
      <c r="O562" s="76">
        <v>47</v>
      </c>
      <c r="P562" s="78">
        <v>0.06</v>
      </c>
    </row>
    <row r="563" spans="7:16" x14ac:dyDescent="0.3">
      <c r="G563" t="s">
        <v>1645</v>
      </c>
      <c r="H563" s="76" t="s">
        <v>845</v>
      </c>
      <c r="I563" s="76" t="s">
        <v>846</v>
      </c>
      <c r="J563" s="76" t="s">
        <v>360</v>
      </c>
      <c r="K563" s="77">
        <v>42922</v>
      </c>
      <c r="L563" s="76" t="s">
        <v>396</v>
      </c>
      <c r="M563" s="76" t="s">
        <v>848</v>
      </c>
      <c r="N563" s="76">
        <v>500</v>
      </c>
      <c r="O563" s="76">
        <v>265</v>
      </c>
      <c r="P563" s="78">
        <v>0.47</v>
      </c>
    </row>
    <row r="564" spans="7:16" x14ac:dyDescent="0.3">
      <c r="G564" t="s">
        <v>1646</v>
      </c>
      <c r="H564" s="76" t="s">
        <v>675</v>
      </c>
      <c r="I564" s="76" t="s">
        <v>676</v>
      </c>
      <c r="J564" s="76" t="s">
        <v>384</v>
      </c>
      <c r="K564" s="76" t="s">
        <v>1647</v>
      </c>
      <c r="L564" s="76" t="s">
        <v>391</v>
      </c>
      <c r="M564" s="76" t="s">
        <v>1266</v>
      </c>
      <c r="N564" s="76">
        <v>30</v>
      </c>
      <c r="O564" s="76">
        <v>28</v>
      </c>
      <c r="P564" s="78">
        <v>6.6699999999999995E-2</v>
      </c>
    </row>
    <row r="565" spans="7:16" x14ac:dyDescent="0.3">
      <c r="G565" t="s">
        <v>1648</v>
      </c>
      <c r="H565" s="76" t="s">
        <v>399</v>
      </c>
      <c r="I565" s="76" t="s">
        <v>400</v>
      </c>
      <c r="J565" s="76" t="s">
        <v>372</v>
      </c>
      <c r="K565" s="76" t="s">
        <v>1649</v>
      </c>
      <c r="L565" s="76" t="s">
        <v>475</v>
      </c>
      <c r="M565" s="76" t="s">
        <v>1650</v>
      </c>
      <c r="N565" s="76">
        <v>250</v>
      </c>
      <c r="O565" s="76">
        <v>240</v>
      </c>
      <c r="P565" s="78">
        <v>0.04</v>
      </c>
    </row>
    <row r="566" spans="7:16" x14ac:dyDescent="0.3">
      <c r="G566" t="s">
        <v>1651</v>
      </c>
      <c r="H566" s="76" t="s">
        <v>619</v>
      </c>
      <c r="I566" s="76" t="s">
        <v>620</v>
      </c>
      <c r="J566" s="76" t="s">
        <v>372</v>
      </c>
      <c r="K566" s="77">
        <v>43416</v>
      </c>
      <c r="L566" s="76" t="s">
        <v>385</v>
      </c>
      <c r="M566" s="76" t="s">
        <v>1433</v>
      </c>
      <c r="N566" s="76">
        <v>50</v>
      </c>
      <c r="O566" s="76">
        <v>45</v>
      </c>
      <c r="P566" s="78">
        <v>0.1</v>
      </c>
    </row>
    <row r="567" spans="7:16" x14ac:dyDescent="0.3">
      <c r="G567" t="s">
        <v>1652</v>
      </c>
      <c r="H567" s="76" t="s">
        <v>399</v>
      </c>
      <c r="I567" s="76" t="s">
        <v>400</v>
      </c>
      <c r="J567" s="76" t="s">
        <v>372</v>
      </c>
      <c r="K567" s="77">
        <v>42013</v>
      </c>
      <c r="L567" s="76" t="s">
        <v>424</v>
      </c>
      <c r="M567" s="76" t="s">
        <v>1650</v>
      </c>
      <c r="N567" s="76">
        <v>500</v>
      </c>
      <c r="O567" s="76">
        <v>490</v>
      </c>
      <c r="P567" s="78">
        <v>0.02</v>
      </c>
    </row>
    <row r="568" spans="7:16" x14ac:dyDescent="0.3">
      <c r="G568" t="s">
        <v>1653</v>
      </c>
      <c r="H568" s="76" t="s">
        <v>524</v>
      </c>
      <c r="I568" s="76" t="s">
        <v>465</v>
      </c>
      <c r="J568" s="76" t="s">
        <v>366</v>
      </c>
      <c r="K568" s="76" t="s">
        <v>1654</v>
      </c>
      <c r="L568" s="76" t="s">
        <v>391</v>
      </c>
      <c r="M568" s="76" t="s">
        <v>1655</v>
      </c>
      <c r="N568" s="76">
        <v>30</v>
      </c>
      <c r="O568" s="76">
        <v>29</v>
      </c>
      <c r="P568" s="78">
        <v>3.3300000000000003E-2</v>
      </c>
    </row>
    <row r="569" spans="7:16" x14ac:dyDescent="0.3">
      <c r="G569" t="s">
        <v>1656</v>
      </c>
      <c r="H569" s="76" t="s">
        <v>514</v>
      </c>
      <c r="I569" s="76" t="s">
        <v>515</v>
      </c>
      <c r="J569" s="76" t="s">
        <v>360</v>
      </c>
      <c r="K569" s="76" t="s">
        <v>1657</v>
      </c>
      <c r="L569" s="76" t="s">
        <v>483</v>
      </c>
      <c r="M569" s="76" t="s">
        <v>1658</v>
      </c>
      <c r="N569" s="76">
        <v>50</v>
      </c>
      <c r="O569" s="76">
        <v>49</v>
      </c>
      <c r="P569" s="78">
        <v>0.02</v>
      </c>
    </row>
    <row r="570" spans="7:16" x14ac:dyDescent="0.3">
      <c r="G570" t="s">
        <v>1659</v>
      </c>
      <c r="H570" s="76" t="s">
        <v>358</v>
      </c>
      <c r="I570" s="76" t="s">
        <v>359</v>
      </c>
      <c r="J570" s="76" t="s">
        <v>360</v>
      </c>
      <c r="K570" s="76" t="s">
        <v>712</v>
      </c>
      <c r="L570" s="76" t="s">
        <v>373</v>
      </c>
      <c r="M570" s="76" t="s">
        <v>706</v>
      </c>
      <c r="N570" s="76">
        <v>700</v>
      </c>
      <c r="O570" s="76">
        <v>665</v>
      </c>
      <c r="P570" s="78">
        <v>0.05</v>
      </c>
    </row>
    <row r="571" spans="7:16" x14ac:dyDescent="0.3">
      <c r="G571" t="s">
        <v>1660</v>
      </c>
      <c r="H571" s="76" t="s">
        <v>747</v>
      </c>
      <c r="I571" s="76" t="s">
        <v>748</v>
      </c>
      <c r="J571" s="76" t="s">
        <v>360</v>
      </c>
      <c r="K571" s="76" t="s">
        <v>1661</v>
      </c>
      <c r="L571" s="76" t="s">
        <v>405</v>
      </c>
      <c r="M571" s="76" t="s">
        <v>1662</v>
      </c>
      <c r="N571" s="76">
        <v>800</v>
      </c>
      <c r="O571" s="76">
        <v>720</v>
      </c>
      <c r="P571" s="78">
        <v>0.1</v>
      </c>
    </row>
    <row r="572" spans="7:16" x14ac:dyDescent="0.3">
      <c r="G572" t="s">
        <v>1663</v>
      </c>
      <c r="H572" s="76" t="s">
        <v>638</v>
      </c>
      <c r="I572" s="76" t="s">
        <v>639</v>
      </c>
      <c r="J572" s="76" t="s">
        <v>360</v>
      </c>
      <c r="K572" s="76" t="s">
        <v>1664</v>
      </c>
      <c r="L572" s="76" t="s">
        <v>424</v>
      </c>
      <c r="M572" s="76" t="s">
        <v>641</v>
      </c>
      <c r="N572" s="76">
        <v>500</v>
      </c>
      <c r="O572" s="76">
        <v>500</v>
      </c>
      <c r="P572" s="78">
        <v>0</v>
      </c>
    </row>
    <row r="573" spans="7:16" x14ac:dyDescent="0.3">
      <c r="G573" t="s">
        <v>1665</v>
      </c>
      <c r="H573" s="76" t="s">
        <v>464</v>
      </c>
      <c r="I573" s="76" t="s">
        <v>465</v>
      </c>
      <c r="J573" s="76" t="s">
        <v>366</v>
      </c>
      <c r="K573" s="76" t="s">
        <v>955</v>
      </c>
      <c r="L573" s="76" t="s">
        <v>405</v>
      </c>
      <c r="M573" s="76" t="s">
        <v>1021</v>
      </c>
      <c r="N573" s="76">
        <v>800</v>
      </c>
      <c r="O573" s="76">
        <v>680</v>
      </c>
      <c r="P573" s="78">
        <v>0.15</v>
      </c>
    </row>
    <row r="574" spans="7:16" x14ac:dyDescent="0.3">
      <c r="G574" t="s">
        <v>1666</v>
      </c>
      <c r="H574" s="76" t="s">
        <v>459</v>
      </c>
      <c r="I574" s="76" t="s">
        <v>422</v>
      </c>
      <c r="J574" s="76" t="s">
        <v>384</v>
      </c>
      <c r="K574" s="77">
        <v>42070</v>
      </c>
      <c r="L574" s="76" t="s">
        <v>405</v>
      </c>
      <c r="M574" s="76" t="s">
        <v>462</v>
      </c>
      <c r="N574" s="76">
        <v>800</v>
      </c>
      <c r="O574" s="76">
        <v>480</v>
      </c>
      <c r="P574" s="78">
        <v>0.4</v>
      </c>
    </row>
    <row r="575" spans="7:16" x14ac:dyDescent="0.3">
      <c r="G575" t="s">
        <v>1667</v>
      </c>
      <c r="H575" s="76" t="s">
        <v>409</v>
      </c>
      <c r="I575" s="76" t="s">
        <v>410</v>
      </c>
      <c r="J575" s="76" t="s">
        <v>360</v>
      </c>
      <c r="K575" s="77">
        <v>41737</v>
      </c>
      <c r="L575" s="76" t="s">
        <v>373</v>
      </c>
      <c r="M575" s="76" t="s">
        <v>1668</v>
      </c>
      <c r="N575" s="76">
        <v>700</v>
      </c>
      <c r="O575" s="76">
        <v>602</v>
      </c>
      <c r="P575" s="78">
        <v>0.14000000000000001</v>
      </c>
    </row>
    <row r="576" spans="7:16" x14ac:dyDescent="0.3">
      <c r="G576" t="s">
        <v>1669</v>
      </c>
      <c r="H576" s="76" t="s">
        <v>519</v>
      </c>
      <c r="I576" s="76" t="s">
        <v>520</v>
      </c>
      <c r="J576" s="76" t="s">
        <v>360</v>
      </c>
      <c r="K576" s="76" t="s">
        <v>1670</v>
      </c>
      <c r="L576" s="76" t="s">
        <v>475</v>
      </c>
      <c r="M576" s="76" t="s">
        <v>859</v>
      </c>
      <c r="N576" s="76">
        <v>250</v>
      </c>
      <c r="O576" s="76">
        <v>220</v>
      </c>
      <c r="P576" s="78">
        <v>0.12</v>
      </c>
    </row>
    <row r="577" spans="7:16" x14ac:dyDescent="0.3">
      <c r="G577" t="s">
        <v>1671</v>
      </c>
      <c r="H577" s="76" t="s">
        <v>485</v>
      </c>
      <c r="I577" s="76" t="s">
        <v>389</v>
      </c>
      <c r="J577" s="76" t="s">
        <v>384</v>
      </c>
      <c r="K577" s="76" t="s">
        <v>1672</v>
      </c>
      <c r="L577" s="76" t="s">
        <v>424</v>
      </c>
      <c r="M577" s="76" t="s">
        <v>1673</v>
      </c>
      <c r="N577" s="76">
        <v>500</v>
      </c>
      <c r="O577" s="76">
        <v>495</v>
      </c>
      <c r="P577" s="78">
        <v>0.01</v>
      </c>
    </row>
    <row r="578" spans="7:16" x14ac:dyDescent="0.3">
      <c r="G578" t="s">
        <v>1674</v>
      </c>
      <c r="H578" s="76" t="s">
        <v>497</v>
      </c>
      <c r="I578" s="76" t="s">
        <v>445</v>
      </c>
      <c r="J578" s="76" t="s">
        <v>384</v>
      </c>
      <c r="K578" s="77">
        <v>42411</v>
      </c>
      <c r="L578" s="76" t="s">
        <v>361</v>
      </c>
      <c r="M578" s="76" t="s">
        <v>1675</v>
      </c>
      <c r="N578" s="76">
        <v>80</v>
      </c>
      <c r="O578" s="76">
        <v>71</v>
      </c>
      <c r="P578" s="78">
        <v>0.1125</v>
      </c>
    </row>
    <row r="579" spans="7:16" x14ac:dyDescent="0.3">
      <c r="G579" t="s">
        <v>1676</v>
      </c>
      <c r="H579" s="76" t="s">
        <v>478</v>
      </c>
      <c r="I579" s="76" t="s">
        <v>479</v>
      </c>
      <c r="J579" s="76" t="s">
        <v>384</v>
      </c>
      <c r="K579" s="76" t="s">
        <v>582</v>
      </c>
      <c r="L579" s="76" t="s">
        <v>411</v>
      </c>
      <c r="M579" s="76" t="s">
        <v>1033</v>
      </c>
      <c r="N579" s="76">
        <v>1000</v>
      </c>
      <c r="O579" s="76">
        <v>530</v>
      </c>
      <c r="P579" s="78">
        <v>0.47</v>
      </c>
    </row>
    <row r="580" spans="7:16" x14ac:dyDescent="0.3">
      <c r="G580" t="s">
        <v>1677</v>
      </c>
      <c r="H580" s="76" t="s">
        <v>528</v>
      </c>
      <c r="I580" s="76" t="s">
        <v>465</v>
      </c>
      <c r="J580" s="76" t="s">
        <v>366</v>
      </c>
      <c r="K580" s="77">
        <v>41951</v>
      </c>
      <c r="L580" s="76" t="s">
        <v>461</v>
      </c>
      <c r="M580" s="76" t="s">
        <v>1678</v>
      </c>
      <c r="N580" s="76">
        <v>70</v>
      </c>
      <c r="O580" s="76">
        <v>65</v>
      </c>
      <c r="P580" s="78">
        <v>7.1400000000000005E-2</v>
      </c>
    </row>
    <row r="581" spans="7:16" x14ac:dyDescent="0.3">
      <c r="G581" t="s">
        <v>1679</v>
      </c>
      <c r="H581" s="76" t="s">
        <v>619</v>
      </c>
      <c r="I581" s="76" t="s">
        <v>620</v>
      </c>
      <c r="J581" s="76" t="s">
        <v>372</v>
      </c>
      <c r="K581" s="76" t="s">
        <v>1680</v>
      </c>
      <c r="L581" s="76" t="s">
        <v>385</v>
      </c>
      <c r="M581" s="76" t="s">
        <v>1681</v>
      </c>
      <c r="N581" s="76">
        <v>50</v>
      </c>
      <c r="O581" s="76">
        <v>49</v>
      </c>
      <c r="P581" s="78">
        <v>0.02</v>
      </c>
    </row>
    <row r="582" spans="7:16" x14ac:dyDescent="0.3">
      <c r="G582" t="s">
        <v>1682</v>
      </c>
      <c r="H582" s="76" t="s">
        <v>403</v>
      </c>
      <c r="I582" s="76" t="s">
        <v>404</v>
      </c>
      <c r="J582" s="76" t="s">
        <v>360</v>
      </c>
      <c r="K582" s="77">
        <v>43076</v>
      </c>
      <c r="L582" s="76" t="s">
        <v>391</v>
      </c>
      <c r="M582" s="76" t="s">
        <v>1375</v>
      </c>
      <c r="N582" s="76">
        <v>30</v>
      </c>
      <c r="O582" s="76">
        <v>30</v>
      </c>
      <c r="P582" s="78">
        <v>0</v>
      </c>
    </row>
    <row r="583" spans="7:16" x14ac:dyDescent="0.3">
      <c r="G583" t="s">
        <v>1683</v>
      </c>
      <c r="H583" s="76" t="s">
        <v>454</v>
      </c>
      <c r="I583" s="76" t="s">
        <v>455</v>
      </c>
      <c r="J583" s="76" t="s">
        <v>360</v>
      </c>
      <c r="K583" s="77">
        <v>43259</v>
      </c>
      <c r="L583" s="76" t="s">
        <v>361</v>
      </c>
      <c r="M583" s="76" t="s">
        <v>1529</v>
      </c>
      <c r="N583" s="76">
        <v>80</v>
      </c>
      <c r="O583" s="76">
        <v>69</v>
      </c>
      <c r="P583" s="78">
        <v>0.13750000000000001</v>
      </c>
    </row>
    <row r="584" spans="7:16" x14ac:dyDescent="0.3">
      <c r="G584" t="s">
        <v>1684</v>
      </c>
      <c r="H584" s="76" t="s">
        <v>414</v>
      </c>
      <c r="I584" s="76" t="s">
        <v>415</v>
      </c>
      <c r="J584" s="76" t="s">
        <v>384</v>
      </c>
      <c r="K584" s="76" t="s">
        <v>1685</v>
      </c>
      <c r="L584" s="76" t="s">
        <v>391</v>
      </c>
      <c r="M584" s="76" t="s">
        <v>506</v>
      </c>
      <c r="N584" s="76">
        <v>30</v>
      </c>
      <c r="O584" s="76">
        <v>29</v>
      </c>
      <c r="P584" s="78">
        <v>3.3300000000000003E-2</v>
      </c>
    </row>
    <row r="585" spans="7:16" x14ac:dyDescent="0.3">
      <c r="G585" t="s">
        <v>1686</v>
      </c>
      <c r="H585" s="76" t="s">
        <v>464</v>
      </c>
      <c r="I585" s="76" t="s">
        <v>465</v>
      </c>
      <c r="J585" s="76" t="s">
        <v>366</v>
      </c>
      <c r="K585" s="76" t="s">
        <v>1687</v>
      </c>
      <c r="L585" s="76" t="s">
        <v>483</v>
      </c>
      <c r="M585" s="76" t="s">
        <v>1688</v>
      </c>
      <c r="N585" s="76">
        <v>50</v>
      </c>
      <c r="O585" s="76">
        <v>43</v>
      </c>
      <c r="P585" s="78">
        <v>0.14000000000000001</v>
      </c>
    </row>
    <row r="586" spans="7:16" x14ac:dyDescent="0.3">
      <c r="G586" t="s">
        <v>1689</v>
      </c>
      <c r="H586" s="76" t="s">
        <v>566</v>
      </c>
      <c r="I586" s="76" t="s">
        <v>567</v>
      </c>
      <c r="J586" s="76" t="s">
        <v>360</v>
      </c>
      <c r="K586" s="77">
        <v>42985</v>
      </c>
      <c r="L586" s="76" t="s">
        <v>379</v>
      </c>
      <c r="M586" s="76" t="s">
        <v>1378</v>
      </c>
      <c r="N586" s="76">
        <v>150</v>
      </c>
      <c r="O586" s="76">
        <v>149</v>
      </c>
      <c r="P586" s="78">
        <v>6.7000000000000002E-3</v>
      </c>
    </row>
    <row r="587" spans="7:16" x14ac:dyDescent="0.3">
      <c r="G587" t="s">
        <v>1690</v>
      </c>
      <c r="H587" s="76" t="s">
        <v>615</v>
      </c>
      <c r="I587" s="76" t="s">
        <v>400</v>
      </c>
      <c r="J587" s="76" t="s">
        <v>372</v>
      </c>
      <c r="K587" s="77">
        <v>42008</v>
      </c>
      <c r="L587" s="76" t="s">
        <v>373</v>
      </c>
      <c r="M587" s="76" t="s">
        <v>992</v>
      </c>
      <c r="N587" s="76">
        <v>700</v>
      </c>
      <c r="O587" s="76">
        <v>574</v>
      </c>
      <c r="P587" s="78">
        <v>0.18</v>
      </c>
    </row>
    <row r="588" spans="7:16" x14ac:dyDescent="0.3">
      <c r="G588" t="s">
        <v>1691</v>
      </c>
      <c r="H588" s="76" t="s">
        <v>514</v>
      </c>
      <c r="I588" s="76" t="s">
        <v>515</v>
      </c>
      <c r="J588" s="76" t="s">
        <v>360</v>
      </c>
      <c r="K588" s="76" t="s">
        <v>1692</v>
      </c>
      <c r="L588" s="76" t="s">
        <v>373</v>
      </c>
      <c r="M588" s="76" t="s">
        <v>1693</v>
      </c>
      <c r="N588" s="76">
        <v>700</v>
      </c>
      <c r="O588" s="76">
        <v>581</v>
      </c>
      <c r="P588" s="78">
        <v>0.17</v>
      </c>
    </row>
    <row r="589" spans="7:16" x14ac:dyDescent="0.3">
      <c r="G589" t="s">
        <v>1694</v>
      </c>
      <c r="H589" s="76" t="s">
        <v>394</v>
      </c>
      <c r="I589" s="76" t="s">
        <v>395</v>
      </c>
      <c r="J589" s="76" t="s">
        <v>372</v>
      </c>
      <c r="K589" s="77">
        <v>41707</v>
      </c>
      <c r="L589" s="76" t="s">
        <v>385</v>
      </c>
      <c r="M589" s="76" t="s">
        <v>1695</v>
      </c>
      <c r="N589" s="76">
        <v>50</v>
      </c>
      <c r="O589" s="76">
        <v>46</v>
      </c>
      <c r="P589" s="78">
        <v>0.08</v>
      </c>
    </row>
    <row r="590" spans="7:16" x14ac:dyDescent="0.3">
      <c r="G590" t="s">
        <v>1696</v>
      </c>
      <c r="H590" s="76" t="s">
        <v>547</v>
      </c>
      <c r="I590" s="76" t="s">
        <v>548</v>
      </c>
      <c r="J590" s="76" t="s">
        <v>360</v>
      </c>
      <c r="K590" s="76" t="s">
        <v>1388</v>
      </c>
      <c r="L590" s="76" t="s">
        <v>411</v>
      </c>
      <c r="M590" s="76" t="s">
        <v>1567</v>
      </c>
      <c r="N590" s="76">
        <v>1000</v>
      </c>
      <c r="O590" s="76">
        <v>610</v>
      </c>
      <c r="P590" s="78">
        <v>0.39</v>
      </c>
    </row>
    <row r="591" spans="7:16" x14ac:dyDescent="0.3">
      <c r="G591" t="s">
        <v>1697</v>
      </c>
      <c r="H591" s="76" t="s">
        <v>615</v>
      </c>
      <c r="I591" s="76" t="s">
        <v>400</v>
      </c>
      <c r="J591" s="76" t="s">
        <v>372</v>
      </c>
      <c r="K591" s="76" t="s">
        <v>1698</v>
      </c>
      <c r="L591" s="76" t="s">
        <v>379</v>
      </c>
      <c r="M591" s="76" t="s">
        <v>1699</v>
      </c>
      <c r="N591" s="76">
        <v>150</v>
      </c>
      <c r="O591" s="76">
        <v>147</v>
      </c>
      <c r="P591" s="78">
        <v>0.02</v>
      </c>
    </row>
    <row r="592" spans="7:16" x14ac:dyDescent="0.3">
      <c r="G592" t="s">
        <v>1700</v>
      </c>
      <c r="H592" s="76" t="s">
        <v>591</v>
      </c>
      <c r="I592" s="76" t="s">
        <v>592</v>
      </c>
      <c r="J592" s="76" t="s">
        <v>372</v>
      </c>
      <c r="K592" s="77">
        <v>42408</v>
      </c>
      <c r="L592" s="76" t="s">
        <v>373</v>
      </c>
      <c r="M592" s="76" t="s">
        <v>1225</v>
      </c>
      <c r="N592" s="76">
        <v>700</v>
      </c>
      <c r="O592" s="76">
        <v>602</v>
      </c>
      <c r="P592" s="78">
        <v>0.14000000000000001</v>
      </c>
    </row>
    <row r="593" spans="7:16" x14ac:dyDescent="0.3">
      <c r="G593" t="s">
        <v>1701</v>
      </c>
      <c r="H593" s="76" t="s">
        <v>700</v>
      </c>
      <c r="I593" s="76" t="s">
        <v>465</v>
      </c>
      <c r="J593" s="76" t="s">
        <v>366</v>
      </c>
      <c r="K593" s="76" t="s">
        <v>1702</v>
      </c>
      <c r="L593" s="76" t="s">
        <v>396</v>
      </c>
      <c r="M593" s="76" t="s">
        <v>1703</v>
      </c>
      <c r="N593" s="76">
        <v>500</v>
      </c>
      <c r="O593" s="76">
        <v>495</v>
      </c>
      <c r="P593" s="78">
        <v>0.01</v>
      </c>
    </row>
    <row r="594" spans="7:16" x14ac:dyDescent="0.3">
      <c r="G594" t="s">
        <v>1704</v>
      </c>
      <c r="H594" s="76" t="s">
        <v>560</v>
      </c>
      <c r="I594" s="76" t="s">
        <v>465</v>
      </c>
      <c r="J594" s="76" t="s">
        <v>366</v>
      </c>
      <c r="K594" s="76" t="s">
        <v>1705</v>
      </c>
      <c r="L594" s="76" t="s">
        <v>373</v>
      </c>
      <c r="M594" s="76" t="s">
        <v>1706</v>
      </c>
      <c r="N594" s="76">
        <v>700</v>
      </c>
      <c r="O594" s="76">
        <v>665</v>
      </c>
      <c r="P594" s="78">
        <v>0.05</v>
      </c>
    </row>
    <row r="595" spans="7:16" x14ac:dyDescent="0.3">
      <c r="G595" t="s">
        <v>1707</v>
      </c>
      <c r="H595" s="76" t="s">
        <v>551</v>
      </c>
      <c r="I595" s="76" t="s">
        <v>552</v>
      </c>
      <c r="J595" s="76" t="s">
        <v>360</v>
      </c>
      <c r="K595" s="76" t="s">
        <v>1708</v>
      </c>
      <c r="L595" s="76" t="s">
        <v>396</v>
      </c>
      <c r="M595" s="76" t="s">
        <v>609</v>
      </c>
      <c r="N595" s="76">
        <v>500</v>
      </c>
      <c r="O595" s="76">
        <v>485</v>
      </c>
      <c r="P595" s="78">
        <v>0.03</v>
      </c>
    </row>
    <row r="596" spans="7:16" x14ac:dyDescent="0.3">
      <c r="G596" t="s">
        <v>1709</v>
      </c>
      <c r="H596" s="76" t="s">
        <v>358</v>
      </c>
      <c r="I596" s="76" t="s">
        <v>359</v>
      </c>
      <c r="J596" s="76" t="s">
        <v>360</v>
      </c>
      <c r="K596" s="77">
        <v>43438</v>
      </c>
      <c r="L596" s="76" t="s">
        <v>361</v>
      </c>
      <c r="M596" s="76" t="s">
        <v>780</v>
      </c>
      <c r="N596" s="76">
        <v>80</v>
      </c>
      <c r="O596" s="76">
        <v>79</v>
      </c>
      <c r="P596" s="78">
        <v>1.2500000000000001E-2</v>
      </c>
    </row>
    <row r="597" spans="7:16" x14ac:dyDescent="0.3">
      <c r="G597" t="s">
        <v>1710</v>
      </c>
      <c r="H597" s="76" t="s">
        <v>434</v>
      </c>
      <c r="I597" s="76" t="s">
        <v>435</v>
      </c>
      <c r="J597" s="76" t="s">
        <v>360</v>
      </c>
      <c r="K597" s="76" t="s">
        <v>1711</v>
      </c>
      <c r="L597" s="76" t="s">
        <v>411</v>
      </c>
      <c r="M597" s="76" t="s">
        <v>1712</v>
      </c>
      <c r="N597" s="76">
        <v>1000</v>
      </c>
      <c r="O597" s="76">
        <v>540</v>
      </c>
      <c r="P597" s="78">
        <v>0.46</v>
      </c>
    </row>
    <row r="598" spans="7:16" x14ac:dyDescent="0.3">
      <c r="G598" t="s">
        <v>1713</v>
      </c>
      <c r="H598" s="76" t="s">
        <v>434</v>
      </c>
      <c r="I598" s="76" t="s">
        <v>435</v>
      </c>
      <c r="J598" s="76" t="s">
        <v>360</v>
      </c>
      <c r="K598" s="77">
        <v>42289</v>
      </c>
      <c r="L598" s="76" t="s">
        <v>361</v>
      </c>
      <c r="M598" s="76" t="s">
        <v>1464</v>
      </c>
      <c r="N598" s="76">
        <v>80</v>
      </c>
      <c r="O598" s="76">
        <v>70</v>
      </c>
      <c r="P598" s="78">
        <v>0.125</v>
      </c>
    </row>
    <row r="599" spans="7:16" x14ac:dyDescent="0.3">
      <c r="G599" t="s">
        <v>1714</v>
      </c>
      <c r="H599" s="76" t="s">
        <v>478</v>
      </c>
      <c r="I599" s="76" t="s">
        <v>479</v>
      </c>
      <c r="J599" s="76" t="s">
        <v>384</v>
      </c>
      <c r="K599" s="77">
        <v>43141</v>
      </c>
      <c r="L599" s="76" t="s">
        <v>483</v>
      </c>
      <c r="M599" s="76" t="s">
        <v>1448</v>
      </c>
      <c r="N599" s="76">
        <v>50</v>
      </c>
      <c r="O599" s="76">
        <v>49</v>
      </c>
      <c r="P599" s="78">
        <v>0.02</v>
      </c>
    </row>
    <row r="600" spans="7:16" x14ac:dyDescent="0.3">
      <c r="G600" t="s">
        <v>1715</v>
      </c>
      <c r="H600" s="76" t="s">
        <v>638</v>
      </c>
      <c r="I600" s="76" t="s">
        <v>639</v>
      </c>
      <c r="J600" s="76" t="s">
        <v>360</v>
      </c>
      <c r="K600" s="77">
        <v>42015</v>
      </c>
      <c r="L600" s="76" t="s">
        <v>361</v>
      </c>
      <c r="M600" s="76" t="s">
        <v>782</v>
      </c>
      <c r="N600" s="76">
        <v>80</v>
      </c>
      <c r="O600" s="76">
        <v>62</v>
      </c>
      <c r="P600" s="78">
        <v>0.22500000000000001</v>
      </c>
    </row>
    <row r="601" spans="7:16" x14ac:dyDescent="0.3">
      <c r="G601" t="s">
        <v>1716</v>
      </c>
      <c r="H601" s="76" t="s">
        <v>388</v>
      </c>
      <c r="I601" s="76" t="s">
        <v>389</v>
      </c>
      <c r="J601" s="76" t="s">
        <v>384</v>
      </c>
      <c r="K601" s="76" t="s">
        <v>1717</v>
      </c>
      <c r="L601" s="76" t="s">
        <v>379</v>
      </c>
      <c r="M601" s="76" t="s">
        <v>1444</v>
      </c>
      <c r="N601" s="76">
        <v>150</v>
      </c>
      <c r="O601" s="76">
        <v>143</v>
      </c>
      <c r="P601" s="78">
        <v>4.6699999999999998E-2</v>
      </c>
    </row>
    <row r="602" spans="7:16" x14ac:dyDescent="0.3">
      <c r="G602" t="s">
        <v>1718</v>
      </c>
      <c r="H602" s="76" t="s">
        <v>668</v>
      </c>
      <c r="I602" s="76" t="s">
        <v>669</v>
      </c>
      <c r="J602" s="76" t="s">
        <v>360</v>
      </c>
      <c r="K602" s="76" t="s">
        <v>1719</v>
      </c>
      <c r="L602" s="76" t="s">
        <v>391</v>
      </c>
      <c r="M602" s="76" t="s">
        <v>671</v>
      </c>
      <c r="N602" s="76">
        <v>30</v>
      </c>
      <c r="O602" s="76">
        <v>26</v>
      </c>
      <c r="P602" s="78">
        <v>0.1333</v>
      </c>
    </row>
    <row r="603" spans="7:16" x14ac:dyDescent="0.3">
      <c r="G603" t="s">
        <v>1720</v>
      </c>
      <c r="H603" s="76" t="s">
        <v>891</v>
      </c>
      <c r="I603" s="76" t="s">
        <v>892</v>
      </c>
      <c r="J603" s="76" t="s">
        <v>372</v>
      </c>
      <c r="K603" s="76" t="s">
        <v>1463</v>
      </c>
      <c r="L603" s="76" t="s">
        <v>475</v>
      </c>
      <c r="M603" s="76" t="s">
        <v>1421</v>
      </c>
      <c r="N603" s="76">
        <v>250</v>
      </c>
      <c r="O603" s="76">
        <v>248</v>
      </c>
      <c r="P603" s="78">
        <v>8.0000000000000002E-3</v>
      </c>
    </row>
    <row r="604" spans="7:16" x14ac:dyDescent="0.3">
      <c r="G604" t="s">
        <v>1721</v>
      </c>
      <c r="H604" s="76" t="s">
        <v>551</v>
      </c>
      <c r="I604" s="76" t="s">
        <v>552</v>
      </c>
      <c r="J604" s="76" t="s">
        <v>360</v>
      </c>
      <c r="K604" s="76" t="s">
        <v>521</v>
      </c>
      <c r="L604" s="76" t="s">
        <v>385</v>
      </c>
      <c r="M604" s="76" t="s">
        <v>553</v>
      </c>
      <c r="N604" s="76">
        <v>50</v>
      </c>
      <c r="O604" s="76">
        <v>44</v>
      </c>
      <c r="P604" s="78">
        <v>0.12</v>
      </c>
    </row>
    <row r="605" spans="7:16" x14ac:dyDescent="0.3">
      <c r="G605" t="s">
        <v>1722</v>
      </c>
      <c r="H605" s="76" t="s">
        <v>438</v>
      </c>
      <c r="I605" s="76" t="s">
        <v>439</v>
      </c>
      <c r="J605" s="76" t="s">
        <v>360</v>
      </c>
      <c r="K605" s="76" t="s">
        <v>1723</v>
      </c>
      <c r="L605" s="76" t="s">
        <v>475</v>
      </c>
      <c r="M605" s="76" t="s">
        <v>1150</v>
      </c>
      <c r="N605" s="76">
        <v>250</v>
      </c>
      <c r="O605" s="76">
        <v>173</v>
      </c>
      <c r="P605" s="78">
        <v>0.308</v>
      </c>
    </row>
    <row r="606" spans="7:16" x14ac:dyDescent="0.3">
      <c r="G606" t="s">
        <v>1724</v>
      </c>
      <c r="H606" s="76" t="s">
        <v>414</v>
      </c>
      <c r="I606" s="76" t="s">
        <v>415</v>
      </c>
      <c r="J606" s="76" t="s">
        <v>384</v>
      </c>
      <c r="K606" s="76" t="s">
        <v>1725</v>
      </c>
      <c r="L606" s="76" t="s">
        <v>411</v>
      </c>
      <c r="M606" s="76" t="s">
        <v>1726</v>
      </c>
      <c r="N606" s="76">
        <v>1000</v>
      </c>
      <c r="O606" s="76">
        <v>850</v>
      </c>
      <c r="P606" s="78">
        <v>0.15</v>
      </c>
    </row>
    <row r="607" spans="7:16" x14ac:dyDescent="0.3">
      <c r="G607" t="s">
        <v>1727</v>
      </c>
      <c r="H607" s="76" t="s">
        <v>611</v>
      </c>
      <c r="I607" s="76" t="s">
        <v>389</v>
      </c>
      <c r="J607" s="76" t="s">
        <v>384</v>
      </c>
      <c r="K607" s="76" t="s">
        <v>1728</v>
      </c>
      <c r="L607" s="76" t="s">
        <v>385</v>
      </c>
      <c r="M607" s="76" t="s">
        <v>1729</v>
      </c>
      <c r="N607" s="76">
        <v>50</v>
      </c>
      <c r="O607" s="76">
        <v>40</v>
      </c>
      <c r="P607" s="78">
        <v>0.2</v>
      </c>
    </row>
    <row r="608" spans="7:16" x14ac:dyDescent="0.3">
      <c r="G608" t="s">
        <v>1730</v>
      </c>
      <c r="H608" s="76" t="s">
        <v>845</v>
      </c>
      <c r="I608" s="76" t="s">
        <v>846</v>
      </c>
      <c r="J608" s="76" t="s">
        <v>360</v>
      </c>
      <c r="K608" s="76" t="s">
        <v>1731</v>
      </c>
      <c r="L608" s="76" t="s">
        <v>475</v>
      </c>
      <c r="M608" s="76" t="s">
        <v>1240</v>
      </c>
      <c r="N608" s="76">
        <v>250</v>
      </c>
      <c r="O608" s="76">
        <v>218</v>
      </c>
      <c r="P608" s="78">
        <v>0.128</v>
      </c>
    </row>
    <row r="609" spans="7:16" x14ac:dyDescent="0.3">
      <c r="G609" t="s">
        <v>1732</v>
      </c>
      <c r="H609" s="76" t="s">
        <v>497</v>
      </c>
      <c r="I609" s="76" t="s">
        <v>445</v>
      </c>
      <c r="J609" s="76" t="s">
        <v>384</v>
      </c>
      <c r="K609" s="76" t="s">
        <v>1733</v>
      </c>
      <c r="L609" s="76" t="s">
        <v>361</v>
      </c>
      <c r="M609" s="76" t="s">
        <v>1734</v>
      </c>
      <c r="N609" s="76">
        <v>80</v>
      </c>
      <c r="O609" s="76">
        <v>79</v>
      </c>
      <c r="P609" s="78">
        <v>1.2500000000000001E-2</v>
      </c>
    </row>
    <row r="610" spans="7:16" x14ac:dyDescent="0.3">
      <c r="G610" t="s">
        <v>1735</v>
      </c>
      <c r="H610" s="76" t="s">
        <v>528</v>
      </c>
      <c r="I610" s="76" t="s">
        <v>465</v>
      </c>
      <c r="J610" s="76" t="s">
        <v>366</v>
      </c>
      <c r="K610" s="76" t="s">
        <v>1736</v>
      </c>
      <c r="L610" s="76" t="s">
        <v>483</v>
      </c>
      <c r="M610" s="76" t="s">
        <v>1077</v>
      </c>
      <c r="N610" s="76">
        <v>50</v>
      </c>
      <c r="O610" s="76">
        <v>40</v>
      </c>
      <c r="P610" s="78">
        <v>0.2</v>
      </c>
    </row>
    <row r="611" spans="7:16" x14ac:dyDescent="0.3">
      <c r="G611" t="s">
        <v>1737</v>
      </c>
      <c r="H611" s="76" t="s">
        <v>444</v>
      </c>
      <c r="I611" s="76" t="s">
        <v>445</v>
      </c>
      <c r="J611" s="76" t="s">
        <v>384</v>
      </c>
      <c r="K611" s="77">
        <v>43202</v>
      </c>
      <c r="L611" s="76" t="s">
        <v>483</v>
      </c>
      <c r="M611" s="76" t="s">
        <v>583</v>
      </c>
      <c r="N611" s="76">
        <v>50</v>
      </c>
      <c r="O611" s="76">
        <v>44</v>
      </c>
      <c r="P611" s="78">
        <v>0.12</v>
      </c>
    </row>
    <row r="612" spans="7:16" x14ac:dyDescent="0.3">
      <c r="G612" t="s">
        <v>1738</v>
      </c>
      <c r="H612" s="76" t="s">
        <v>473</v>
      </c>
      <c r="I612" s="76" t="s">
        <v>404</v>
      </c>
      <c r="J612" s="76" t="s">
        <v>360</v>
      </c>
      <c r="K612" s="76" t="s">
        <v>1739</v>
      </c>
      <c r="L612" s="76" t="s">
        <v>373</v>
      </c>
      <c r="M612" s="76" t="s">
        <v>630</v>
      </c>
      <c r="N612" s="76">
        <v>700</v>
      </c>
      <c r="O612" s="76">
        <v>553</v>
      </c>
      <c r="P612" s="78">
        <v>0.21</v>
      </c>
    </row>
    <row r="613" spans="7:16" x14ac:dyDescent="0.3">
      <c r="G613" t="s">
        <v>1740</v>
      </c>
      <c r="H613" s="76" t="s">
        <v>409</v>
      </c>
      <c r="I613" s="76" t="s">
        <v>410</v>
      </c>
      <c r="J613" s="76" t="s">
        <v>360</v>
      </c>
      <c r="K613" s="77">
        <v>42923</v>
      </c>
      <c r="L613" s="76" t="s">
        <v>461</v>
      </c>
      <c r="M613" s="76" t="s">
        <v>1356</v>
      </c>
      <c r="N613" s="76">
        <v>70</v>
      </c>
      <c r="O613" s="76">
        <v>66</v>
      </c>
      <c r="P613" s="78">
        <v>5.7099999999999998E-2</v>
      </c>
    </row>
    <row r="614" spans="7:16" x14ac:dyDescent="0.3">
      <c r="G614" t="s">
        <v>1741</v>
      </c>
      <c r="H614" s="76" t="s">
        <v>473</v>
      </c>
      <c r="I614" s="76" t="s">
        <v>404</v>
      </c>
      <c r="J614" s="76" t="s">
        <v>360</v>
      </c>
      <c r="K614" s="77">
        <v>42926</v>
      </c>
      <c r="L614" s="76" t="s">
        <v>411</v>
      </c>
      <c r="M614" s="76" t="s">
        <v>1742</v>
      </c>
      <c r="N614" s="76">
        <v>1000</v>
      </c>
      <c r="O614" s="76">
        <v>920</v>
      </c>
      <c r="P614" s="78">
        <v>0.08</v>
      </c>
    </row>
    <row r="615" spans="7:16" x14ac:dyDescent="0.3">
      <c r="G615" t="s">
        <v>1743</v>
      </c>
      <c r="H615" s="76" t="s">
        <v>394</v>
      </c>
      <c r="I615" s="76" t="s">
        <v>395</v>
      </c>
      <c r="J615" s="76" t="s">
        <v>372</v>
      </c>
      <c r="K615" s="77">
        <v>43229</v>
      </c>
      <c r="L615" s="76" t="s">
        <v>385</v>
      </c>
      <c r="M615" s="76" t="s">
        <v>1744</v>
      </c>
      <c r="N615" s="76">
        <v>50</v>
      </c>
      <c r="O615" s="76">
        <v>50</v>
      </c>
      <c r="P615" s="78">
        <v>0</v>
      </c>
    </row>
    <row r="616" spans="7:16" x14ac:dyDescent="0.3">
      <c r="G616" t="s">
        <v>1745</v>
      </c>
      <c r="H616" s="76" t="s">
        <v>429</v>
      </c>
      <c r="I616" s="76" t="s">
        <v>430</v>
      </c>
      <c r="J616" s="76" t="s">
        <v>384</v>
      </c>
      <c r="K616" s="76" t="s">
        <v>773</v>
      </c>
      <c r="L616" s="76" t="s">
        <v>461</v>
      </c>
      <c r="M616" s="76" t="s">
        <v>1746</v>
      </c>
      <c r="N616" s="76">
        <v>70</v>
      </c>
      <c r="O616" s="76">
        <v>53</v>
      </c>
      <c r="P616" s="78">
        <v>0.2429</v>
      </c>
    </row>
    <row r="617" spans="7:16" x14ac:dyDescent="0.3">
      <c r="G617" t="s">
        <v>1747</v>
      </c>
      <c r="H617" s="76" t="s">
        <v>524</v>
      </c>
      <c r="I617" s="76" t="s">
        <v>465</v>
      </c>
      <c r="J617" s="76" t="s">
        <v>366</v>
      </c>
      <c r="K617" s="77">
        <v>41733</v>
      </c>
      <c r="L617" s="76" t="s">
        <v>411</v>
      </c>
      <c r="M617" s="76" t="s">
        <v>784</v>
      </c>
      <c r="N617" s="76">
        <v>1000</v>
      </c>
      <c r="O617" s="76">
        <v>780</v>
      </c>
      <c r="P617" s="78">
        <v>0.22</v>
      </c>
    </row>
    <row r="618" spans="7:16" x14ac:dyDescent="0.3">
      <c r="G618" t="s">
        <v>1748</v>
      </c>
      <c r="H618" s="76" t="s">
        <v>478</v>
      </c>
      <c r="I618" s="76" t="s">
        <v>479</v>
      </c>
      <c r="J618" s="76" t="s">
        <v>384</v>
      </c>
      <c r="K618" s="76" t="s">
        <v>1749</v>
      </c>
      <c r="L618" s="76" t="s">
        <v>373</v>
      </c>
      <c r="M618" s="76" t="s">
        <v>1512</v>
      </c>
      <c r="N618" s="76">
        <v>700</v>
      </c>
      <c r="O618" s="76">
        <v>686</v>
      </c>
      <c r="P618" s="78">
        <v>0.02</v>
      </c>
    </row>
    <row r="619" spans="7:16" x14ac:dyDescent="0.3">
      <c r="G619" t="s">
        <v>1750</v>
      </c>
      <c r="H619" s="76" t="s">
        <v>464</v>
      </c>
      <c r="I619" s="76" t="s">
        <v>465</v>
      </c>
      <c r="J619" s="76" t="s">
        <v>366</v>
      </c>
      <c r="K619" s="76" t="s">
        <v>1751</v>
      </c>
      <c r="L619" s="76" t="s">
        <v>379</v>
      </c>
      <c r="M619" s="76" t="s">
        <v>1688</v>
      </c>
      <c r="N619" s="76">
        <v>150</v>
      </c>
      <c r="O619" s="76">
        <v>108</v>
      </c>
      <c r="P619" s="78">
        <v>0.28000000000000003</v>
      </c>
    </row>
    <row r="620" spans="7:16" x14ac:dyDescent="0.3">
      <c r="G620" t="s">
        <v>1752</v>
      </c>
      <c r="H620" s="76" t="s">
        <v>668</v>
      </c>
      <c r="I620" s="76" t="s">
        <v>669</v>
      </c>
      <c r="J620" s="76" t="s">
        <v>360</v>
      </c>
      <c r="K620" s="76" t="s">
        <v>1753</v>
      </c>
      <c r="L620" s="76" t="s">
        <v>411</v>
      </c>
      <c r="M620" s="76" t="s">
        <v>1115</v>
      </c>
      <c r="N620" s="76">
        <v>1000</v>
      </c>
      <c r="O620" s="76">
        <v>880</v>
      </c>
      <c r="P620" s="78">
        <v>0.12</v>
      </c>
    </row>
    <row r="621" spans="7:16" x14ac:dyDescent="0.3">
      <c r="G621" t="s">
        <v>1754</v>
      </c>
      <c r="H621" s="76" t="s">
        <v>478</v>
      </c>
      <c r="I621" s="76" t="s">
        <v>479</v>
      </c>
      <c r="J621" s="76" t="s">
        <v>384</v>
      </c>
      <c r="K621" s="76" t="s">
        <v>712</v>
      </c>
      <c r="L621" s="76" t="s">
        <v>405</v>
      </c>
      <c r="M621" s="76" t="s">
        <v>1033</v>
      </c>
      <c r="N621" s="76">
        <v>800</v>
      </c>
      <c r="O621" s="76">
        <v>560</v>
      </c>
      <c r="P621" s="78">
        <v>0.3</v>
      </c>
    </row>
    <row r="622" spans="7:16" x14ac:dyDescent="0.3">
      <c r="G622" t="s">
        <v>1755</v>
      </c>
      <c r="H622" s="76" t="s">
        <v>478</v>
      </c>
      <c r="I622" s="76" t="s">
        <v>479</v>
      </c>
      <c r="J622" s="76" t="s">
        <v>384</v>
      </c>
      <c r="K622" s="76" t="s">
        <v>1756</v>
      </c>
      <c r="L622" s="76" t="s">
        <v>411</v>
      </c>
      <c r="M622" s="76" t="s">
        <v>1757</v>
      </c>
      <c r="N622" s="76">
        <v>1000</v>
      </c>
      <c r="O622" s="76">
        <v>930</v>
      </c>
      <c r="P622" s="78">
        <v>7.0000000000000007E-2</v>
      </c>
    </row>
    <row r="623" spans="7:16" x14ac:dyDescent="0.3">
      <c r="G623" t="s">
        <v>1758</v>
      </c>
      <c r="H623" s="76" t="s">
        <v>358</v>
      </c>
      <c r="I623" s="76" t="s">
        <v>359</v>
      </c>
      <c r="J623" s="76" t="s">
        <v>360</v>
      </c>
      <c r="K623" s="77">
        <v>42828</v>
      </c>
      <c r="L623" s="76" t="s">
        <v>373</v>
      </c>
      <c r="M623" s="76" t="s">
        <v>362</v>
      </c>
      <c r="N623" s="76">
        <v>700</v>
      </c>
      <c r="O623" s="76">
        <v>693</v>
      </c>
      <c r="P623" s="78">
        <v>0.01</v>
      </c>
    </row>
    <row r="624" spans="7:16" x14ac:dyDescent="0.3">
      <c r="G624" t="s">
        <v>1759</v>
      </c>
      <c r="H624" s="76" t="s">
        <v>528</v>
      </c>
      <c r="I624" s="76" t="s">
        <v>465</v>
      </c>
      <c r="J624" s="76" t="s">
        <v>366</v>
      </c>
      <c r="K624" s="77">
        <v>42284</v>
      </c>
      <c r="L624" s="76" t="s">
        <v>391</v>
      </c>
      <c r="M624" s="76" t="s">
        <v>1678</v>
      </c>
      <c r="N624" s="76">
        <v>30</v>
      </c>
      <c r="O624" s="76">
        <v>26</v>
      </c>
      <c r="P624" s="78">
        <v>0.1333</v>
      </c>
    </row>
    <row r="625" spans="7:16" x14ac:dyDescent="0.3">
      <c r="G625" t="s">
        <v>1760</v>
      </c>
      <c r="H625" s="76" t="s">
        <v>464</v>
      </c>
      <c r="I625" s="76" t="s">
        <v>465</v>
      </c>
      <c r="J625" s="76" t="s">
        <v>366</v>
      </c>
      <c r="K625" s="77">
        <v>43227</v>
      </c>
      <c r="L625" s="76" t="s">
        <v>391</v>
      </c>
      <c r="M625" s="76" t="s">
        <v>1688</v>
      </c>
      <c r="N625" s="76">
        <v>30</v>
      </c>
      <c r="O625" s="76">
        <v>29</v>
      </c>
      <c r="P625" s="78">
        <v>3.3300000000000003E-2</v>
      </c>
    </row>
    <row r="626" spans="7:16" x14ac:dyDescent="0.3">
      <c r="G626" t="s">
        <v>1761</v>
      </c>
      <c r="H626" s="76" t="s">
        <v>494</v>
      </c>
      <c r="I626" s="76" t="s">
        <v>465</v>
      </c>
      <c r="J626" s="76" t="s">
        <v>366</v>
      </c>
      <c r="K626" s="77">
        <v>41914</v>
      </c>
      <c r="L626" s="76" t="s">
        <v>391</v>
      </c>
      <c r="M626" s="76" t="s">
        <v>1233</v>
      </c>
      <c r="N626" s="76">
        <v>30</v>
      </c>
      <c r="O626" s="76">
        <v>30</v>
      </c>
      <c r="P626" s="78">
        <v>0</v>
      </c>
    </row>
    <row r="627" spans="7:16" x14ac:dyDescent="0.3">
      <c r="G627" t="s">
        <v>1762</v>
      </c>
      <c r="H627" s="76" t="s">
        <v>638</v>
      </c>
      <c r="I627" s="76" t="s">
        <v>639</v>
      </c>
      <c r="J627" s="76" t="s">
        <v>360</v>
      </c>
      <c r="K627" s="76" t="s">
        <v>1723</v>
      </c>
      <c r="L627" s="76" t="s">
        <v>379</v>
      </c>
      <c r="M627" s="76" t="s">
        <v>880</v>
      </c>
      <c r="N627" s="76">
        <v>150</v>
      </c>
      <c r="O627" s="76">
        <v>143</v>
      </c>
      <c r="P627" s="78">
        <v>4.6699999999999998E-2</v>
      </c>
    </row>
    <row r="628" spans="7:16" x14ac:dyDescent="0.3">
      <c r="G628" t="s">
        <v>1763</v>
      </c>
      <c r="H628" s="76" t="s">
        <v>619</v>
      </c>
      <c r="I628" s="76" t="s">
        <v>620</v>
      </c>
      <c r="J628" s="76" t="s">
        <v>372</v>
      </c>
      <c r="K628" s="76" t="s">
        <v>1764</v>
      </c>
      <c r="L628" s="76" t="s">
        <v>475</v>
      </c>
      <c r="M628" s="76" t="s">
        <v>1476</v>
      </c>
      <c r="N628" s="76">
        <v>250</v>
      </c>
      <c r="O628" s="76">
        <v>208</v>
      </c>
      <c r="P628" s="78">
        <v>0.16800000000000001</v>
      </c>
    </row>
    <row r="629" spans="7:16" x14ac:dyDescent="0.3">
      <c r="G629" t="s">
        <v>1765</v>
      </c>
      <c r="H629" s="76" t="s">
        <v>551</v>
      </c>
      <c r="I629" s="76" t="s">
        <v>552</v>
      </c>
      <c r="J629" s="76" t="s">
        <v>360</v>
      </c>
      <c r="K629" s="76" t="s">
        <v>1766</v>
      </c>
      <c r="L629" s="76" t="s">
        <v>396</v>
      </c>
      <c r="M629" s="76" t="s">
        <v>1125</v>
      </c>
      <c r="N629" s="76">
        <v>500</v>
      </c>
      <c r="O629" s="76">
        <v>455</v>
      </c>
      <c r="P629" s="78">
        <v>0.09</v>
      </c>
    </row>
    <row r="630" spans="7:16" x14ac:dyDescent="0.3">
      <c r="G630" t="s">
        <v>1767</v>
      </c>
      <c r="H630" s="76" t="s">
        <v>514</v>
      </c>
      <c r="I630" s="76" t="s">
        <v>515</v>
      </c>
      <c r="J630" s="76" t="s">
        <v>360</v>
      </c>
      <c r="K630" s="76" t="s">
        <v>1768</v>
      </c>
      <c r="L630" s="76" t="s">
        <v>475</v>
      </c>
      <c r="M630" s="76" t="s">
        <v>1693</v>
      </c>
      <c r="N630" s="76">
        <v>250</v>
      </c>
      <c r="O630" s="76">
        <v>155</v>
      </c>
      <c r="P630" s="78">
        <v>0.38</v>
      </c>
    </row>
    <row r="631" spans="7:16" x14ac:dyDescent="0.3">
      <c r="G631" t="s">
        <v>1769</v>
      </c>
      <c r="H631" s="76" t="s">
        <v>489</v>
      </c>
      <c r="I631" s="76" t="s">
        <v>490</v>
      </c>
      <c r="J631" s="76" t="s">
        <v>360</v>
      </c>
      <c r="K631" s="76" t="s">
        <v>1770</v>
      </c>
      <c r="L631" s="76" t="s">
        <v>391</v>
      </c>
      <c r="M631" s="76" t="s">
        <v>824</v>
      </c>
      <c r="N631" s="76">
        <v>30</v>
      </c>
      <c r="O631" s="76">
        <v>27</v>
      </c>
      <c r="P631" s="78">
        <v>0.1</v>
      </c>
    </row>
    <row r="632" spans="7:16" x14ac:dyDescent="0.3">
      <c r="G632" t="s">
        <v>1771</v>
      </c>
      <c r="H632" s="76" t="s">
        <v>454</v>
      </c>
      <c r="I632" s="76" t="s">
        <v>455</v>
      </c>
      <c r="J632" s="76" t="s">
        <v>360</v>
      </c>
      <c r="K632" s="77">
        <v>42249</v>
      </c>
      <c r="L632" s="76" t="s">
        <v>396</v>
      </c>
      <c r="M632" s="76" t="s">
        <v>1772</v>
      </c>
      <c r="N632" s="76">
        <v>500</v>
      </c>
      <c r="O632" s="76">
        <v>485</v>
      </c>
      <c r="P632" s="78">
        <v>0.03</v>
      </c>
    </row>
    <row r="633" spans="7:16" x14ac:dyDescent="0.3">
      <c r="G633" t="s">
        <v>1773</v>
      </c>
      <c r="H633" s="76" t="s">
        <v>700</v>
      </c>
      <c r="I633" s="76" t="s">
        <v>465</v>
      </c>
      <c r="J633" s="76" t="s">
        <v>366</v>
      </c>
      <c r="K633" s="76" t="s">
        <v>1774</v>
      </c>
      <c r="L633" s="76" t="s">
        <v>483</v>
      </c>
      <c r="M633" s="76" t="s">
        <v>1611</v>
      </c>
      <c r="N633" s="76">
        <v>50</v>
      </c>
      <c r="O633" s="76">
        <v>49</v>
      </c>
      <c r="P633" s="78">
        <v>0.02</v>
      </c>
    </row>
    <row r="634" spans="7:16" x14ac:dyDescent="0.3">
      <c r="G634" t="s">
        <v>1775</v>
      </c>
      <c r="H634" s="76" t="s">
        <v>429</v>
      </c>
      <c r="I634" s="76" t="s">
        <v>430</v>
      </c>
      <c r="J634" s="76" t="s">
        <v>384</v>
      </c>
      <c r="K634" s="77">
        <v>43042</v>
      </c>
      <c r="L634" s="76" t="s">
        <v>396</v>
      </c>
      <c r="M634" s="76" t="s">
        <v>1776</v>
      </c>
      <c r="N634" s="76">
        <v>500</v>
      </c>
      <c r="O634" s="76">
        <v>450</v>
      </c>
      <c r="P634" s="78">
        <v>0.1</v>
      </c>
    </row>
    <row r="635" spans="7:16" x14ac:dyDescent="0.3">
      <c r="G635" t="s">
        <v>1777</v>
      </c>
      <c r="H635" s="76" t="s">
        <v>429</v>
      </c>
      <c r="I635" s="76" t="s">
        <v>430</v>
      </c>
      <c r="J635" s="76" t="s">
        <v>384</v>
      </c>
      <c r="K635" s="77">
        <v>42493</v>
      </c>
      <c r="L635" s="76" t="s">
        <v>385</v>
      </c>
      <c r="M635" s="76" t="s">
        <v>740</v>
      </c>
      <c r="N635" s="76">
        <v>50</v>
      </c>
      <c r="O635" s="76">
        <v>49</v>
      </c>
      <c r="P635" s="78">
        <v>0.02</v>
      </c>
    </row>
    <row r="636" spans="7:16" x14ac:dyDescent="0.3">
      <c r="G636" t="s">
        <v>1778</v>
      </c>
      <c r="H636" s="76" t="s">
        <v>528</v>
      </c>
      <c r="I636" s="76" t="s">
        <v>465</v>
      </c>
      <c r="J636" s="76" t="s">
        <v>366</v>
      </c>
      <c r="K636" s="77">
        <v>41975</v>
      </c>
      <c r="L636" s="76" t="s">
        <v>379</v>
      </c>
      <c r="M636" s="76" t="s">
        <v>530</v>
      </c>
      <c r="N636" s="76">
        <v>150</v>
      </c>
      <c r="O636" s="76">
        <v>111</v>
      </c>
      <c r="P636" s="78">
        <v>0.26</v>
      </c>
    </row>
    <row r="637" spans="7:16" x14ac:dyDescent="0.3">
      <c r="G637" t="s">
        <v>1779</v>
      </c>
      <c r="H637" s="76" t="s">
        <v>656</v>
      </c>
      <c r="I637" s="76" t="s">
        <v>657</v>
      </c>
      <c r="J637" s="76" t="s">
        <v>360</v>
      </c>
      <c r="K637" s="77">
        <v>42952</v>
      </c>
      <c r="L637" s="76" t="s">
        <v>391</v>
      </c>
      <c r="M637" s="76" t="s">
        <v>1780</v>
      </c>
      <c r="N637" s="76">
        <v>30</v>
      </c>
      <c r="O637" s="76">
        <v>29</v>
      </c>
      <c r="P637" s="78">
        <v>3.3300000000000003E-2</v>
      </c>
    </row>
    <row r="638" spans="7:16" x14ac:dyDescent="0.3">
      <c r="G638" t="s">
        <v>1781</v>
      </c>
      <c r="H638" s="76" t="s">
        <v>519</v>
      </c>
      <c r="I638" s="76" t="s">
        <v>520</v>
      </c>
      <c r="J638" s="76" t="s">
        <v>360</v>
      </c>
      <c r="K638" s="76" t="s">
        <v>1782</v>
      </c>
      <c r="L638" s="76" t="s">
        <v>385</v>
      </c>
      <c r="M638" s="76" t="s">
        <v>522</v>
      </c>
      <c r="N638" s="76">
        <v>50</v>
      </c>
      <c r="O638" s="76">
        <v>35</v>
      </c>
      <c r="P638" s="78">
        <v>0.3</v>
      </c>
    </row>
    <row r="639" spans="7:16" x14ac:dyDescent="0.3">
      <c r="G639" t="s">
        <v>1783</v>
      </c>
      <c r="H639" s="76" t="s">
        <v>547</v>
      </c>
      <c r="I639" s="76" t="s">
        <v>548</v>
      </c>
      <c r="J639" s="76" t="s">
        <v>360</v>
      </c>
      <c r="K639" s="76" t="s">
        <v>1784</v>
      </c>
      <c r="L639" s="76" t="s">
        <v>461</v>
      </c>
      <c r="M639" s="76" t="s">
        <v>1785</v>
      </c>
      <c r="N639" s="76">
        <v>70</v>
      </c>
      <c r="O639" s="76">
        <v>69</v>
      </c>
      <c r="P639" s="78">
        <v>1.43E-2</v>
      </c>
    </row>
    <row r="640" spans="7:16" x14ac:dyDescent="0.3">
      <c r="G640" t="s">
        <v>1786</v>
      </c>
      <c r="H640" s="76" t="s">
        <v>394</v>
      </c>
      <c r="I640" s="76" t="s">
        <v>395</v>
      </c>
      <c r="J640" s="76" t="s">
        <v>372</v>
      </c>
      <c r="K640" s="77">
        <v>42045</v>
      </c>
      <c r="L640" s="76" t="s">
        <v>475</v>
      </c>
      <c r="M640" s="76" t="s">
        <v>1787</v>
      </c>
      <c r="N640" s="76">
        <v>250</v>
      </c>
      <c r="O640" s="76">
        <v>218</v>
      </c>
      <c r="P640" s="78">
        <v>0.128</v>
      </c>
    </row>
    <row r="641" spans="7:16" x14ac:dyDescent="0.3">
      <c r="G641" t="s">
        <v>1788</v>
      </c>
      <c r="H641" s="76" t="s">
        <v>478</v>
      </c>
      <c r="I641" s="76" t="s">
        <v>479</v>
      </c>
      <c r="J641" s="76" t="s">
        <v>384</v>
      </c>
      <c r="K641" s="77">
        <v>43383</v>
      </c>
      <c r="L641" s="76" t="s">
        <v>373</v>
      </c>
      <c r="M641" s="76" t="s">
        <v>1757</v>
      </c>
      <c r="N641" s="76">
        <v>700</v>
      </c>
      <c r="O641" s="76">
        <v>672</v>
      </c>
      <c r="P641" s="78">
        <v>0.04</v>
      </c>
    </row>
    <row r="642" spans="7:16" x14ac:dyDescent="0.3">
      <c r="G642" t="s">
        <v>1789</v>
      </c>
      <c r="H642" s="76" t="s">
        <v>675</v>
      </c>
      <c r="I642" s="76" t="s">
        <v>676</v>
      </c>
      <c r="J642" s="76" t="s">
        <v>384</v>
      </c>
      <c r="K642" s="76" t="s">
        <v>541</v>
      </c>
      <c r="L642" s="76" t="s">
        <v>411</v>
      </c>
      <c r="M642" s="76" t="s">
        <v>1268</v>
      </c>
      <c r="N642" s="76">
        <v>1000</v>
      </c>
      <c r="O642" s="76">
        <v>950</v>
      </c>
      <c r="P642" s="78">
        <v>0.05</v>
      </c>
    </row>
    <row r="643" spans="7:16" x14ac:dyDescent="0.3">
      <c r="G643" t="s">
        <v>1790</v>
      </c>
      <c r="H643" s="76" t="s">
        <v>747</v>
      </c>
      <c r="I643" s="76" t="s">
        <v>748</v>
      </c>
      <c r="J643" s="76" t="s">
        <v>360</v>
      </c>
      <c r="K643" s="76" t="s">
        <v>1791</v>
      </c>
      <c r="L643" s="76" t="s">
        <v>483</v>
      </c>
      <c r="M643" s="76" t="s">
        <v>1542</v>
      </c>
      <c r="N643" s="76">
        <v>50</v>
      </c>
      <c r="O643" s="76">
        <v>50</v>
      </c>
      <c r="P643" s="78">
        <v>0</v>
      </c>
    </row>
    <row r="644" spans="7:16" x14ac:dyDescent="0.3">
      <c r="G644" t="s">
        <v>1792</v>
      </c>
      <c r="H644" s="76" t="s">
        <v>615</v>
      </c>
      <c r="I644" s="76" t="s">
        <v>400</v>
      </c>
      <c r="J644" s="76" t="s">
        <v>372</v>
      </c>
      <c r="K644" s="76" t="s">
        <v>1793</v>
      </c>
      <c r="L644" s="76" t="s">
        <v>373</v>
      </c>
      <c r="M644" s="76" t="s">
        <v>1347</v>
      </c>
      <c r="N644" s="76">
        <v>700</v>
      </c>
      <c r="O644" s="76">
        <v>651</v>
      </c>
      <c r="P644" s="78">
        <v>7.0000000000000007E-2</v>
      </c>
    </row>
    <row r="645" spans="7:16" x14ac:dyDescent="0.3">
      <c r="G645" t="s">
        <v>1794</v>
      </c>
      <c r="H645" s="76" t="s">
        <v>376</v>
      </c>
      <c r="I645" s="76" t="s">
        <v>377</v>
      </c>
      <c r="J645" s="76" t="s">
        <v>360</v>
      </c>
      <c r="K645" s="76" t="s">
        <v>1795</v>
      </c>
      <c r="L645" s="76" t="s">
        <v>396</v>
      </c>
      <c r="M645" s="76" t="s">
        <v>1796</v>
      </c>
      <c r="N645" s="76">
        <v>500</v>
      </c>
      <c r="O645" s="76">
        <v>465</v>
      </c>
      <c r="P645" s="78">
        <v>7.0000000000000007E-2</v>
      </c>
    </row>
    <row r="646" spans="7:16" x14ac:dyDescent="0.3">
      <c r="G646" t="s">
        <v>1797</v>
      </c>
      <c r="H646" s="76" t="s">
        <v>478</v>
      </c>
      <c r="I646" s="76" t="s">
        <v>479</v>
      </c>
      <c r="J646" s="76" t="s">
        <v>384</v>
      </c>
      <c r="K646" s="77">
        <v>42856</v>
      </c>
      <c r="L646" s="76" t="s">
        <v>483</v>
      </c>
      <c r="M646" s="76" t="s">
        <v>1798</v>
      </c>
      <c r="N646" s="76">
        <v>50</v>
      </c>
      <c r="O646" s="76">
        <v>48</v>
      </c>
      <c r="P646" s="78">
        <v>0.04</v>
      </c>
    </row>
    <row r="647" spans="7:16" x14ac:dyDescent="0.3">
      <c r="G647" t="s">
        <v>1799</v>
      </c>
      <c r="H647" s="76" t="s">
        <v>494</v>
      </c>
      <c r="I647" s="76" t="s">
        <v>465</v>
      </c>
      <c r="J647" s="76" t="s">
        <v>366</v>
      </c>
      <c r="K647" s="76" t="s">
        <v>1800</v>
      </c>
      <c r="L647" s="76" t="s">
        <v>379</v>
      </c>
      <c r="M647" s="76" t="s">
        <v>820</v>
      </c>
      <c r="N647" s="76">
        <v>150</v>
      </c>
      <c r="O647" s="76">
        <v>144</v>
      </c>
      <c r="P647" s="78">
        <v>0.04</v>
      </c>
    </row>
    <row r="648" spans="7:16" x14ac:dyDescent="0.3">
      <c r="G648" t="s">
        <v>1801</v>
      </c>
      <c r="H648" s="76" t="s">
        <v>469</v>
      </c>
      <c r="I648" s="76" t="s">
        <v>435</v>
      </c>
      <c r="J648" s="76" t="s">
        <v>360</v>
      </c>
      <c r="K648" s="76" t="s">
        <v>1802</v>
      </c>
      <c r="L648" s="76" t="s">
        <v>385</v>
      </c>
      <c r="M648" s="76" t="s">
        <v>1419</v>
      </c>
      <c r="N648" s="76">
        <v>50</v>
      </c>
      <c r="O648" s="76">
        <v>46</v>
      </c>
      <c r="P648" s="78">
        <v>0.08</v>
      </c>
    </row>
    <row r="649" spans="7:16" x14ac:dyDescent="0.3">
      <c r="G649" t="s">
        <v>1803</v>
      </c>
      <c r="H649" s="76" t="s">
        <v>514</v>
      </c>
      <c r="I649" s="76" t="s">
        <v>515</v>
      </c>
      <c r="J649" s="76" t="s">
        <v>360</v>
      </c>
      <c r="K649" s="77">
        <v>42193</v>
      </c>
      <c r="L649" s="76" t="s">
        <v>361</v>
      </c>
      <c r="M649" s="76" t="s">
        <v>517</v>
      </c>
      <c r="N649" s="76">
        <v>80</v>
      </c>
      <c r="O649" s="76">
        <v>70</v>
      </c>
      <c r="P649" s="78">
        <v>0.125</v>
      </c>
    </row>
    <row r="650" spans="7:16" x14ac:dyDescent="0.3">
      <c r="G650" t="s">
        <v>1804</v>
      </c>
      <c r="H650" s="76" t="s">
        <v>528</v>
      </c>
      <c r="I650" s="76" t="s">
        <v>465</v>
      </c>
      <c r="J650" s="76" t="s">
        <v>366</v>
      </c>
      <c r="K650" s="76" t="s">
        <v>1805</v>
      </c>
      <c r="L650" s="76" t="s">
        <v>405</v>
      </c>
      <c r="M650" s="76" t="s">
        <v>530</v>
      </c>
      <c r="N650" s="76">
        <v>800</v>
      </c>
      <c r="O650" s="76">
        <v>776</v>
      </c>
      <c r="P650" s="78">
        <v>0.03</v>
      </c>
    </row>
    <row r="651" spans="7:16" x14ac:dyDescent="0.3">
      <c r="G651" t="s">
        <v>1806</v>
      </c>
      <c r="H651" s="76" t="s">
        <v>591</v>
      </c>
      <c r="I651" s="76" t="s">
        <v>592</v>
      </c>
      <c r="J651" s="76" t="s">
        <v>372</v>
      </c>
      <c r="K651" s="76" t="s">
        <v>1807</v>
      </c>
      <c r="L651" s="76" t="s">
        <v>483</v>
      </c>
      <c r="M651" s="76" t="s">
        <v>652</v>
      </c>
      <c r="N651" s="76">
        <v>50</v>
      </c>
      <c r="O651" s="76">
        <v>47</v>
      </c>
      <c r="P651" s="78">
        <v>0.06</v>
      </c>
    </row>
    <row r="652" spans="7:16" x14ac:dyDescent="0.3">
      <c r="G652" t="s">
        <v>1808</v>
      </c>
      <c r="H652" s="76" t="s">
        <v>421</v>
      </c>
      <c r="I652" s="76" t="s">
        <v>422</v>
      </c>
      <c r="J652" s="76" t="s">
        <v>384</v>
      </c>
      <c r="K652" s="77">
        <v>41800</v>
      </c>
      <c r="L652" s="76" t="s">
        <v>483</v>
      </c>
      <c r="M652" s="76" t="s">
        <v>1211</v>
      </c>
      <c r="N652" s="76">
        <v>50</v>
      </c>
      <c r="O652" s="76">
        <v>50</v>
      </c>
      <c r="P652" s="78">
        <v>0</v>
      </c>
    </row>
    <row r="653" spans="7:16" x14ac:dyDescent="0.3">
      <c r="G653" t="s">
        <v>1809</v>
      </c>
      <c r="H653" s="76" t="s">
        <v>409</v>
      </c>
      <c r="I653" s="76" t="s">
        <v>410</v>
      </c>
      <c r="J653" s="76" t="s">
        <v>360</v>
      </c>
      <c r="K653" s="76" t="s">
        <v>682</v>
      </c>
      <c r="L653" s="76" t="s">
        <v>483</v>
      </c>
      <c r="M653" s="76" t="s">
        <v>1246</v>
      </c>
      <c r="N653" s="76">
        <v>50</v>
      </c>
      <c r="O653" s="76">
        <v>48</v>
      </c>
      <c r="P653" s="78">
        <v>0.04</v>
      </c>
    </row>
    <row r="654" spans="7:16" x14ac:dyDescent="0.3">
      <c r="G654" t="s">
        <v>1810</v>
      </c>
      <c r="H654" s="76" t="s">
        <v>382</v>
      </c>
      <c r="I654" s="76" t="s">
        <v>383</v>
      </c>
      <c r="J654" s="76" t="s">
        <v>384</v>
      </c>
      <c r="K654" s="77">
        <v>41763</v>
      </c>
      <c r="L654" s="76" t="s">
        <v>385</v>
      </c>
      <c r="M654" s="76" t="s">
        <v>580</v>
      </c>
      <c r="N654" s="76">
        <v>50</v>
      </c>
      <c r="O654" s="76">
        <v>39</v>
      </c>
      <c r="P654" s="78">
        <v>0.22</v>
      </c>
    </row>
    <row r="655" spans="7:16" x14ac:dyDescent="0.3">
      <c r="G655" t="s">
        <v>1811</v>
      </c>
      <c r="H655" s="76" t="s">
        <v>429</v>
      </c>
      <c r="I655" s="76" t="s">
        <v>430</v>
      </c>
      <c r="J655" s="76" t="s">
        <v>384</v>
      </c>
      <c r="K655" s="77">
        <v>43192</v>
      </c>
      <c r="L655" s="76" t="s">
        <v>424</v>
      </c>
      <c r="M655" s="76" t="s">
        <v>536</v>
      </c>
      <c r="N655" s="76">
        <v>500</v>
      </c>
      <c r="O655" s="76">
        <v>500</v>
      </c>
      <c r="P655" s="78">
        <v>0</v>
      </c>
    </row>
    <row r="656" spans="7:16" x14ac:dyDescent="0.3">
      <c r="G656" t="s">
        <v>1812</v>
      </c>
      <c r="H656" s="76" t="s">
        <v>494</v>
      </c>
      <c r="I656" s="76" t="s">
        <v>465</v>
      </c>
      <c r="J656" s="76" t="s">
        <v>366</v>
      </c>
      <c r="K656" s="77">
        <v>42890</v>
      </c>
      <c r="L656" s="76" t="s">
        <v>461</v>
      </c>
      <c r="M656" s="76" t="s">
        <v>1373</v>
      </c>
      <c r="N656" s="76">
        <v>70</v>
      </c>
      <c r="O656" s="76">
        <v>64</v>
      </c>
      <c r="P656" s="78">
        <v>8.5699999999999998E-2</v>
      </c>
    </row>
    <row r="657" spans="7:16" x14ac:dyDescent="0.3">
      <c r="G657" t="s">
        <v>1813</v>
      </c>
      <c r="H657" s="76" t="s">
        <v>489</v>
      </c>
      <c r="I657" s="76" t="s">
        <v>490</v>
      </c>
      <c r="J657" s="76" t="s">
        <v>360</v>
      </c>
      <c r="K657" s="76" t="s">
        <v>826</v>
      </c>
      <c r="L657" s="76" t="s">
        <v>424</v>
      </c>
      <c r="M657" s="76" t="s">
        <v>1015</v>
      </c>
      <c r="N657" s="76">
        <v>500</v>
      </c>
      <c r="O657" s="76">
        <v>495</v>
      </c>
      <c r="P657" s="78">
        <v>0.01</v>
      </c>
    </row>
    <row r="658" spans="7:16" x14ac:dyDescent="0.3">
      <c r="G658" t="s">
        <v>1814</v>
      </c>
      <c r="H658" s="76" t="s">
        <v>399</v>
      </c>
      <c r="I658" s="76" t="s">
        <v>400</v>
      </c>
      <c r="J658" s="76" t="s">
        <v>372</v>
      </c>
      <c r="K658" s="77">
        <v>42469</v>
      </c>
      <c r="L658" s="76" t="s">
        <v>361</v>
      </c>
      <c r="M658" s="76" t="s">
        <v>1650</v>
      </c>
      <c r="N658" s="76">
        <v>80</v>
      </c>
      <c r="O658" s="76">
        <v>70</v>
      </c>
      <c r="P658" s="78">
        <v>0.125</v>
      </c>
    </row>
    <row r="659" spans="7:16" x14ac:dyDescent="0.3">
      <c r="G659" t="s">
        <v>1815</v>
      </c>
      <c r="H659" s="76" t="s">
        <v>376</v>
      </c>
      <c r="I659" s="76" t="s">
        <v>377</v>
      </c>
      <c r="J659" s="76" t="s">
        <v>360</v>
      </c>
      <c r="K659" s="77">
        <v>41975</v>
      </c>
      <c r="L659" s="76" t="s">
        <v>391</v>
      </c>
      <c r="M659" s="76" t="s">
        <v>1816</v>
      </c>
      <c r="N659" s="76">
        <v>30</v>
      </c>
      <c r="O659" s="76">
        <v>29</v>
      </c>
      <c r="P659" s="78">
        <v>3.3300000000000003E-2</v>
      </c>
    </row>
    <row r="660" spans="7:16" x14ac:dyDescent="0.3">
      <c r="G660" t="s">
        <v>1817</v>
      </c>
      <c r="H660" s="76" t="s">
        <v>891</v>
      </c>
      <c r="I660" s="76" t="s">
        <v>892</v>
      </c>
      <c r="J660" s="76" t="s">
        <v>372</v>
      </c>
      <c r="K660" s="77">
        <v>42925</v>
      </c>
      <c r="L660" s="76" t="s">
        <v>405</v>
      </c>
      <c r="M660" s="76" t="s">
        <v>1459</v>
      </c>
      <c r="N660" s="76">
        <v>800</v>
      </c>
      <c r="O660" s="76">
        <v>680</v>
      </c>
      <c r="P660" s="78">
        <v>0.15</v>
      </c>
    </row>
    <row r="661" spans="7:16" x14ac:dyDescent="0.3">
      <c r="G661" t="s">
        <v>1818</v>
      </c>
      <c r="H661" s="76" t="s">
        <v>497</v>
      </c>
      <c r="I661" s="76" t="s">
        <v>445</v>
      </c>
      <c r="J661" s="76" t="s">
        <v>384</v>
      </c>
      <c r="K661" s="77">
        <v>42468</v>
      </c>
      <c r="L661" s="76" t="s">
        <v>385</v>
      </c>
      <c r="M661" s="76" t="s">
        <v>1819</v>
      </c>
      <c r="N661" s="76">
        <v>50</v>
      </c>
      <c r="O661" s="76">
        <v>49</v>
      </c>
      <c r="P661" s="78">
        <v>0.02</v>
      </c>
    </row>
    <row r="662" spans="7:16" x14ac:dyDescent="0.3">
      <c r="G662" t="s">
        <v>1820</v>
      </c>
      <c r="H662" s="76" t="s">
        <v>700</v>
      </c>
      <c r="I662" s="76" t="s">
        <v>465</v>
      </c>
      <c r="J662" s="76" t="s">
        <v>366</v>
      </c>
      <c r="K662" s="77">
        <v>43405</v>
      </c>
      <c r="L662" s="76" t="s">
        <v>424</v>
      </c>
      <c r="M662" s="76" t="s">
        <v>1821</v>
      </c>
      <c r="N662" s="76">
        <v>500</v>
      </c>
      <c r="O662" s="76">
        <v>495</v>
      </c>
      <c r="P662" s="78">
        <v>0.01</v>
      </c>
    </row>
    <row r="663" spans="7:16" x14ac:dyDescent="0.3">
      <c r="G663" t="s">
        <v>1822</v>
      </c>
      <c r="H663" s="76" t="s">
        <v>382</v>
      </c>
      <c r="I663" s="76" t="s">
        <v>383</v>
      </c>
      <c r="J663" s="76" t="s">
        <v>384</v>
      </c>
      <c r="K663" s="76" t="s">
        <v>1823</v>
      </c>
      <c r="L663" s="76" t="s">
        <v>411</v>
      </c>
      <c r="M663" s="76" t="s">
        <v>1824</v>
      </c>
      <c r="N663" s="76">
        <v>1000</v>
      </c>
      <c r="O663" s="76">
        <v>510</v>
      </c>
      <c r="P663" s="78">
        <v>0.49</v>
      </c>
    </row>
    <row r="664" spans="7:16" x14ac:dyDescent="0.3">
      <c r="G664" t="s">
        <v>1825</v>
      </c>
      <c r="H664" s="76" t="s">
        <v>399</v>
      </c>
      <c r="I664" s="76" t="s">
        <v>400</v>
      </c>
      <c r="J664" s="76" t="s">
        <v>372</v>
      </c>
      <c r="K664" s="76" t="s">
        <v>1131</v>
      </c>
      <c r="L664" s="76" t="s">
        <v>424</v>
      </c>
      <c r="M664" s="76" t="s">
        <v>843</v>
      </c>
      <c r="N664" s="76">
        <v>500</v>
      </c>
      <c r="O664" s="76">
        <v>495</v>
      </c>
      <c r="P664" s="78">
        <v>0.01</v>
      </c>
    </row>
    <row r="665" spans="7:16" x14ac:dyDescent="0.3">
      <c r="G665" t="s">
        <v>1826</v>
      </c>
      <c r="H665" s="76" t="s">
        <v>619</v>
      </c>
      <c r="I665" s="76" t="s">
        <v>620</v>
      </c>
      <c r="J665" s="76" t="s">
        <v>372</v>
      </c>
      <c r="K665" s="76" t="s">
        <v>1751</v>
      </c>
      <c r="L665" s="76" t="s">
        <v>391</v>
      </c>
      <c r="M665" s="76" t="s">
        <v>1476</v>
      </c>
      <c r="N665" s="76">
        <v>30</v>
      </c>
      <c r="O665" s="76">
        <v>26</v>
      </c>
      <c r="P665" s="78">
        <v>0.1333</v>
      </c>
    </row>
    <row r="666" spans="7:16" x14ac:dyDescent="0.3">
      <c r="G666" t="s">
        <v>1827</v>
      </c>
      <c r="H666" s="76" t="s">
        <v>497</v>
      </c>
      <c r="I666" s="76" t="s">
        <v>445</v>
      </c>
      <c r="J666" s="76" t="s">
        <v>384</v>
      </c>
      <c r="K666" s="77">
        <v>42135</v>
      </c>
      <c r="L666" s="76" t="s">
        <v>405</v>
      </c>
      <c r="M666" s="76" t="s">
        <v>1828</v>
      </c>
      <c r="N666" s="76">
        <v>800</v>
      </c>
      <c r="O666" s="76">
        <v>656</v>
      </c>
      <c r="P666" s="78">
        <v>0.18</v>
      </c>
    </row>
    <row r="667" spans="7:16" x14ac:dyDescent="0.3">
      <c r="G667" t="s">
        <v>1829</v>
      </c>
      <c r="H667" s="76" t="s">
        <v>473</v>
      </c>
      <c r="I667" s="76" t="s">
        <v>404</v>
      </c>
      <c r="J667" s="76" t="s">
        <v>360</v>
      </c>
      <c r="K667" s="77">
        <v>41883</v>
      </c>
      <c r="L667" s="76" t="s">
        <v>379</v>
      </c>
      <c r="M667" s="76" t="s">
        <v>1496</v>
      </c>
      <c r="N667" s="76">
        <v>150</v>
      </c>
      <c r="O667" s="76">
        <v>141</v>
      </c>
      <c r="P667" s="78">
        <v>0.06</v>
      </c>
    </row>
    <row r="668" spans="7:16" x14ac:dyDescent="0.3">
      <c r="G668" t="s">
        <v>1830</v>
      </c>
      <c r="H668" s="76" t="s">
        <v>364</v>
      </c>
      <c r="I668" s="76" t="s">
        <v>365</v>
      </c>
      <c r="J668" s="76" t="s">
        <v>366</v>
      </c>
      <c r="K668" s="76" t="s">
        <v>1831</v>
      </c>
      <c r="L668" s="76" t="s">
        <v>361</v>
      </c>
      <c r="M668" s="76" t="s">
        <v>973</v>
      </c>
      <c r="N668" s="76">
        <v>80</v>
      </c>
      <c r="O668" s="76">
        <v>80</v>
      </c>
      <c r="P668" s="78">
        <v>0</v>
      </c>
    </row>
    <row r="669" spans="7:16" x14ac:dyDescent="0.3">
      <c r="G669" t="s">
        <v>1832</v>
      </c>
      <c r="H669" s="76" t="s">
        <v>845</v>
      </c>
      <c r="I669" s="76" t="s">
        <v>846</v>
      </c>
      <c r="J669" s="76" t="s">
        <v>360</v>
      </c>
      <c r="K669" s="76" t="s">
        <v>1111</v>
      </c>
      <c r="L669" s="76" t="s">
        <v>405</v>
      </c>
      <c r="M669" s="76" t="s">
        <v>1139</v>
      </c>
      <c r="N669" s="76">
        <v>800</v>
      </c>
      <c r="O669" s="76">
        <v>784</v>
      </c>
      <c r="P669" s="78">
        <v>0.02</v>
      </c>
    </row>
    <row r="670" spans="7:16" x14ac:dyDescent="0.3">
      <c r="G670" t="s">
        <v>1833</v>
      </c>
      <c r="H670" s="76" t="s">
        <v>414</v>
      </c>
      <c r="I670" s="76" t="s">
        <v>415</v>
      </c>
      <c r="J670" s="76" t="s">
        <v>384</v>
      </c>
      <c r="K670" s="76" t="s">
        <v>1834</v>
      </c>
      <c r="L670" s="76" t="s">
        <v>405</v>
      </c>
      <c r="M670" s="76" t="s">
        <v>1726</v>
      </c>
      <c r="N670" s="76">
        <v>800</v>
      </c>
      <c r="O670" s="76">
        <v>776</v>
      </c>
      <c r="P670" s="78">
        <v>0.03</v>
      </c>
    </row>
    <row r="671" spans="7:16" x14ac:dyDescent="0.3">
      <c r="G671" t="s">
        <v>1835</v>
      </c>
      <c r="H671" s="76" t="s">
        <v>489</v>
      </c>
      <c r="I671" s="76" t="s">
        <v>490</v>
      </c>
      <c r="J671" s="76" t="s">
        <v>360</v>
      </c>
      <c r="K671" s="76" t="s">
        <v>677</v>
      </c>
      <c r="L671" s="76" t="s">
        <v>461</v>
      </c>
      <c r="M671" s="76" t="s">
        <v>1539</v>
      </c>
      <c r="N671" s="76">
        <v>70</v>
      </c>
      <c r="O671" s="76">
        <v>69</v>
      </c>
      <c r="P671" s="78">
        <v>1.43E-2</v>
      </c>
    </row>
    <row r="672" spans="7:16" x14ac:dyDescent="0.3">
      <c r="G672" t="s">
        <v>1836</v>
      </c>
      <c r="H672" s="76" t="s">
        <v>891</v>
      </c>
      <c r="I672" s="76" t="s">
        <v>892</v>
      </c>
      <c r="J672" s="76" t="s">
        <v>372</v>
      </c>
      <c r="K672" s="76" t="s">
        <v>1837</v>
      </c>
      <c r="L672" s="76" t="s">
        <v>405</v>
      </c>
      <c r="M672" s="76" t="s">
        <v>1046</v>
      </c>
      <c r="N672" s="76">
        <v>800</v>
      </c>
      <c r="O672" s="76">
        <v>632</v>
      </c>
      <c r="P672" s="78">
        <v>0.21</v>
      </c>
    </row>
    <row r="673" spans="7:16" x14ac:dyDescent="0.3">
      <c r="G673" t="s">
        <v>1838</v>
      </c>
      <c r="H673" s="76" t="s">
        <v>382</v>
      </c>
      <c r="I673" s="76" t="s">
        <v>383</v>
      </c>
      <c r="J673" s="76" t="s">
        <v>384</v>
      </c>
      <c r="K673" s="77">
        <v>42288</v>
      </c>
      <c r="L673" s="76" t="s">
        <v>424</v>
      </c>
      <c r="M673" s="76" t="s">
        <v>1839</v>
      </c>
      <c r="N673" s="76">
        <v>500</v>
      </c>
      <c r="O673" s="76">
        <v>500</v>
      </c>
      <c r="P673" s="78">
        <v>0</v>
      </c>
    </row>
    <row r="674" spans="7:16" x14ac:dyDescent="0.3">
      <c r="G674" t="s">
        <v>1840</v>
      </c>
      <c r="H674" s="76" t="s">
        <v>364</v>
      </c>
      <c r="I674" s="76" t="s">
        <v>365</v>
      </c>
      <c r="J674" s="76" t="s">
        <v>366</v>
      </c>
      <c r="K674" s="77">
        <v>42316</v>
      </c>
      <c r="L674" s="76" t="s">
        <v>424</v>
      </c>
      <c r="M674" s="76" t="s">
        <v>1350</v>
      </c>
      <c r="N674" s="76">
        <v>500</v>
      </c>
      <c r="O674" s="76">
        <v>490</v>
      </c>
      <c r="P674" s="78">
        <v>0.02</v>
      </c>
    </row>
    <row r="675" spans="7:16" x14ac:dyDescent="0.3">
      <c r="G675" t="s">
        <v>1841</v>
      </c>
      <c r="H675" s="76" t="s">
        <v>394</v>
      </c>
      <c r="I675" s="76" t="s">
        <v>395</v>
      </c>
      <c r="J675" s="76" t="s">
        <v>372</v>
      </c>
      <c r="K675" s="76" t="s">
        <v>1842</v>
      </c>
      <c r="L675" s="76" t="s">
        <v>461</v>
      </c>
      <c r="M675" s="76" t="s">
        <v>1843</v>
      </c>
      <c r="N675" s="76">
        <v>70</v>
      </c>
      <c r="O675" s="76">
        <v>64</v>
      </c>
      <c r="P675" s="78">
        <v>8.5699999999999998E-2</v>
      </c>
    </row>
    <row r="676" spans="7:16" x14ac:dyDescent="0.3">
      <c r="G676" t="s">
        <v>1844</v>
      </c>
      <c r="H676" s="76" t="s">
        <v>747</v>
      </c>
      <c r="I676" s="76" t="s">
        <v>748</v>
      </c>
      <c r="J676" s="76" t="s">
        <v>360</v>
      </c>
      <c r="K676" s="76" t="s">
        <v>1447</v>
      </c>
      <c r="L676" s="76" t="s">
        <v>483</v>
      </c>
      <c r="M676" s="76" t="s">
        <v>1542</v>
      </c>
      <c r="N676" s="76">
        <v>50</v>
      </c>
      <c r="O676" s="76">
        <v>50</v>
      </c>
      <c r="P676" s="78">
        <v>0</v>
      </c>
    </row>
    <row r="677" spans="7:16" x14ac:dyDescent="0.3">
      <c r="G677" t="s">
        <v>1845</v>
      </c>
      <c r="H677" s="76" t="s">
        <v>747</v>
      </c>
      <c r="I677" s="76" t="s">
        <v>748</v>
      </c>
      <c r="J677" s="76" t="s">
        <v>360</v>
      </c>
      <c r="K677" s="76" t="s">
        <v>1846</v>
      </c>
      <c r="L677" s="76" t="s">
        <v>385</v>
      </c>
      <c r="M677" s="76" t="s">
        <v>749</v>
      </c>
      <c r="N677" s="76">
        <v>50</v>
      </c>
      <c r="O677" s="76">
        <v>48</v>
      </c>
      <c r="P677" s="78">
        <v>0.04</v>
      </c>
    </row>
    <row r="678" spans="7:16" x14ac:dyDescent="0.3">
      <c r="G678" t="s">
        <v>1847</v>
      </c>
      <c r="H678" s="76" t="s">
        <v>566</v>
      </c>
      <c r="I678" s="76" t="s">
        <v>567</v>
      </c>
      <c r="J678" s="76" t="s">
        <v>360</v>
      </c>
      <c r="K678" s="76" t="s">
        <v>1848</v>
      </c>
      <c r="L678" s="76" t="s">
        <v>396</v>
      </c>
      <c r="M678" s="76" t="s">
        <v>1849</v>
      </c>
      <c r="N678" s="76">
        <v>500</v>
      </c>
      <c r="O678" s="76">
        <v>495</v>
      </c>
      <c r="P678" s="78">
        <v>0.01</v>
      </c>
    </row>
    <row r="679" spans="7:16" x14ac:dyDescent="0.3">
      <c r="G679" t="s">
        <v>1850</v>
      </c>
      <c r="H679" s="76" t="s">
        <v>638</v>
      </c>
      <c r="I679" s="76" t="s">
        <v>639</v>
      </c>
      <c r="J679" s="76" t="s">
        <v>360</v>
      </c>
      <c r="K679" s="77">
        <v>42524</v>
      </c>
      <c r="L679" s="76" t="s">
        <v>405</v>
      </c>
      <c r="M679" s="76" t="s">
        <v>1851</v>
      </c>
      <c r="N679" s="76">
        <v>800</v>
      </c>
      <c r="O679" s="76">
        <v>760</v>
      </c>
      <c r="P679" s="78">
        <v>0.05</v>
      </c>
    </row>
    <row r="680" spans="7:16" x14ac:dyDescent="0.3">
      <c r="G680" t="s">
        <v>1852</v>
      </c>
      <c r="H680" s="76" t="s">
        <v>524</v>
      </c>
      <c r="I680" s="76" t="s">
        <v>465</v>
      </c>
      <c r="J680" s="76" t="s">
        <v>366</v>
      </c>
      <c r="K680" s="77">
        <v>42827</v>
      </c>
      <c r="L680" s="76" t="s">
        <v>461</v>
      </c>
      <c r="M680" s="76" t="s">
        <v>1640</v>
      </c>
      <c r="N680" s="76">
        <v>70</v>
      </c>
      <c r="O680" s="76">
        <v>65</v>
      </c>
      <c r="P680" s="78">
        <v>7.1400000000000005E-2</v>
      </c>
    </row>
    <row r="681" spans="7:16" x14ac:dyDescent="0.3">
      <c r="G681" t="s">
        <v>1853</v>
      </c>
      <c r="H681" s="76" t="s">
        <v>444</v>
      </c>
      <c r="I681" s="76" t="s">
        <v>445</v>
      </c>
      <c r="J681" s="76" t="s">
        <v>384</v>
      </c>
      <c r="K681" s="76" t="s">
        <v>1136</v>
      </c>
      <c r="L681" s="76" t="s">
        <v>461</v>
      </c>
      <c r="M681" s="76" t="s">
        <v>1854</v>
      </c>
      <c r="N681" s="76">
        <v>70</v>
      </c>
      <c r="O681" s="76">
        <v>67</v>
      </c>
      <c r="P681" s="78">
        <v>4.2900000000000001E-2</v>
      </c>
    </row>
    <row r="682" spans="7:16" x14ac:dyDescent="0.3">
      <c r="G682" t="s">
        <v>1855</v>
      </c>
      <c r="H682" s="76" t="s">
        <v>560</v>
      </c>
      <c r="I682" s="76" t="s">
        <v>465</v>
      </c>
      <c r="J682" s="76" t="s">
        <v>366</v>
      </c>
      <c r="K682" s="76" t="s">
        <v>1557</v>
      </c>
      <c r="L682" s="76" t="s">
        <v>424</v>
      </c>
      <c r="M682" s="76" t="s">
        <v>1856</v>
      </c>
      <c r="N682" s="76">
        <v>500</v>
      </c>
      <c r="O682" s="76">
        <v>490</v>
      </c>
      <c r="P682" s="78">
        <v>0.02</v>
      </c>
    </row>
    <row r="683" spans="7:16" x14ac:dyDescent="0.3">
      <c r="G683" t="s">
        <v>1857</v>
      </c>
      <c r="H683" s="76" t="s">
        <v>358</v>
      </c>
      <c r="I683" s="76" t="s">
        <v>359</v>
      </c>
      <c r="J683" s="76" t="s">
        <v>360</v>
      </c>
      <c r="K683" s="77">
        <v>42952</v>
      </c>
      <c r="L683" s="76" t="s">
        <v>379</v>
      </c>
      <c r="M683" s="76" t="s">
        <v>1858</v>
      </c>
      <c r="N683" s="76">
        <v>150</v>
      </c>
      <c r="O683" s="76">
        <v>147</v>
      </c>
      <c r="P683" s="78">
        <v>0.02</v>
      </c>
    </row>
    <row r="684" spans="7:16" x14ac:dyDescent="0.3">
      <c r="G684" t="s">
        <v>1859</v>
      </c>
      <c r="H684" s="76" t="s">
        <v>845</v>
      </c>
      <c r="I684" s="76" t="s">
        <v>846</v>
      </c>
      <c r="J684" s="76" t="s">
        <v>360</v>
      </c>
      <c r="K684" s="76" t="s">
        <v>1582</v>
      </c>
      <c r="L684" s="76" t="s">
        <v>424</v>
      </c>
      <c r="M684" s="76" t="s">
        <v>903</v>
      </c>
      <c r="N684" s="76">
        <v>500</v>
      </c>
      <c r="O684" s="76">
        <v>500</v>
      </c>
      <c r="P684" s="78">
        <v>0</v>
      </c>
    </row>
    <row r="685" spans="7:16" x14ac:dyDescent="0.3">
      <c r="G685" t="s">
        <v>1860</v>
      </c>
      <c r="H685" s="76" t="s">
        <v>528</v>
      </c>
      <c r="I685" s="76" t="s">
        <v>465</v>
      </c>
      <c r="J685" s="76" t="s">
        <v>366</v>
      </c>
      <c r="K685" s="77">
        <v>43384</v>
      </c>
      <c r="L685" s="76" t="s">
        <v>391</v>
      </c>
      <c r="M685" s="76" t="s">
        <v>530</v>
      </c>
      <c r="N685" s="76">
        <v>30</v>
      </c>
      <c r="O685" s="76">
        <v>28</v>
      </c>
      <c r="P685" s="78">
        <v>6.6699999999999995E-2</v>
      </c>
    </row>
    <row r="686" spans="7:16" x14ac:dyDescent="0.3">
      <c r="G686" t="s">
        <v>1861</v>
      </c>
      <c r="H686" s="76" t="s">
        <v>497</v>
      </c>
      <c r="I686" s="76" t="s">
        <v>445</v>
      </c>
      <c r="J686" s="76" t="s">
        <v>384</v>
      </c>
      <c r="K686" s="76" t="s">
        <v>1862</v>
      </c>
      <c r="L686" s="76" t="s">
        <v>405</v>
      </c>
      <c r="M686" s="76" t="s">
        <v>1819</v>
      </c>
      <c r="N686" s="76">
        <v>800</v>
      </c>
      <c r="O686" s="76">
        <v>600</v>
      </c>
      <c r="P686" s="78">
        <v>0.25</v>
      </c>
    </row>
    <row r="687" spans="7:16" x14ac:dyDescent="0.3">
      <c r="G687" t="s">
        <v>1863</v>
      </c>
      <c r="H687" s="76" t="s">
        <v>478</v>
      </c>
      <c r="I687" s="76" t="s">
        <v>479</v>
      </c>
      <c r="J687" s="76" t="s">
        <v>384</v>
      </c>
      <c r="K687" s="77">
        <v>43260</v>
      </c>
      <c r="L687" s="76" t="s">
        <v>405</v>
      </c>
      <c r="M687" s="76" t="s">
        <v>1512</v>
      </c>
      <c r="N687" s="76">
        <v>800</v>
      </c>
      <c r="O687" s="76">
        <v>552</v>
      </c>
      <c r="P687" s="78">
        <v>0.31</v>
      </c>
    </row>
    <row r="688" spans="7:16" x14ac:dyDescent="0.3">
      <c r="G688" t="s">
        <v>1864</v>
      </c>
      <c r="H688" s="76" t="s">
        <v>469</v>
      </c>
      <c r="I688" s="76" t="s">
        <v>435</v>
      </c>
      <c r="J688" s="76" t="s">
        <v>360</v>
      </c>
      <c r="K688" s="77">
        <v>42796</v>
      </c>
      <c r="L688" s="76" t="s">
        <v>483</v>
      </c>
      <c r="M688" s="76" t="s">
        <v>1061</v>
      </c>
      <c r="N688" s="76">
        <v>50</v>
      </c>
      <c r="O688" s="76">
        <v>46</v>
      </c>
      <c r="P688" s="78">
        <v>0.08</v>
      </c>
    </row>
    <row r="689" spans="7:16" x14ac:dyDescent="0.3">
      <c r="G689" t="s">
        <v>1865</v>
      </c>
      <c r="H689" s="76" t="s">
        <v>747</v>
      </c>
      <c r="I689" s="76" t="s">
        <v>748</v>
      </c>
      <c r="J689" s="76" t="s">
        <v>360</v>
      </c>
      <c r="K689" s="76" t="s">
        <v>1866</v>
      </c>
      <c r="L689" s="76" t="s">
        <v>391</v>
      </c>
      <c r="M689" s="76" t="s">
        <v>917</v>
      </c>
      <c r="N689" s="76">
        <v>30</v>
      </c>
      <c r="O689" s="76">
        <v>29</v>
      </c>
      <c r="P689" s="78">
        <v>3.3300000000000003E-2</v>
      </c>
    </row>
    <row r="690" spans="7:16" x14ac:dyDescent="0.3">
      <c r="G690" t="s">
        <v>1867</v>
      </c>
      <c r="H690" s="76" t="s">
        <v>845</v>
      </c>
      <c r="I690" s="76" t="s">
        <v>846</v>
      </c>
      <c r="J690" s="76" t="s">
        <v>360</v>
      </c>
      <c r="K690" s="77">
        <v>42340</v>
      </c>
      <c r="L690" s="76" t="s">
        <v>405</v>
      </c>
      <c r="M690" s="76" t="s">
        <v>1868</v>
      </c>
      <c r="N690" s="76">
        <v>800</v>
      </c>
      <c r="O690" s="76">
        <v>680</v>
      </c>
      <c r="P690" s="78">
        <v>0.15</v>
      </c>
    </row>
    <row r="691" spans="7:16" x14ac:dyDescent="0.3">
      <c r="G691" t="s">
        <v>1869</v>
      </c>
      <c r="H691" s="76" t="s">
        <v>388</v>
      </c>
      <c r="I691" s="76" t="s">
        <v>389</v>
      </c>
      <c r="J691" s="76" t="s">
        <v>384</v>
      </c>
      <c r="K691" s="76" t="s">
        <v>1870</v>
      </c>
      <c r="L691" s="76" t="s">
        <v>424</v>
      </c>
      <c r="M691" s="76" t="s">
        <v>1444</v>
      </c>
      <c r="N691" s="76">
        <v>500</v>
      </c>
      <c r="O691" s="76">
        <v>495</v>
      </c>
      <c r="P691" s="78">
        <v>0.01</v>
      </c>
    </row>
    <row r="692" spans="7:16" x14ac:dyDescent="0.3">
      <c r="G692" t="s">
        <v>1871</v>
      </c>
      <c r="H692" s="76" t="s">
        <v>485</v>
      </c>
      <c r="I692" s="76" t="s">
        <v>389</v>
      </c>
      <c r="J692" s="76" t="s">
        <v>384</v>
      </c>
      <c r="K692" s="77">
        <v>42192</v>
      </c>
      <c r="L692" s="76" t="s">
        <v>475</v>
      </c>
      <c r="M692" s="76" t="s">
        <v>1082</v>
      </c>
      <c r="N692" s="76">
        <v>250</v>
      </c>
      <c r="O692" s="76">
        <v>205</v>
      </c>
      <c r="P692" s="78">
        <v>0.18</v>
      </c>
    </row>
    <row r="693" spans="7:16" x14ac:dyDescent="0.3">
      <c r="G693" t="s">
        <v>1872</v>
      </c>
      <c r="H693" s="76" t="s">
        <v>454</v>
      </c>
      <c r="I693" s="76" t="s">
        <v>455</v>
      </c>
      <c r="J693" s="76" t="s">
        <v>360</v>
      </c>
      <c r="K693" s="76" t="s">
        <v>1873</v>
      </c>
      <c r="L693" s="76" t="s">
        <v>385</v>
      </c>
      <c r="M693" s="76" t="s">
        <v>1874</v>
      </c>
      <c r="N693" s="76">
        <v>50</v>
      </c>
      <c r="O693" s="76">
        <v>48</v>
      </c>
      <c r="P693" s="78">
        <v>0.04</v>
      </c>
    </row>
    <row r="694" spans="7:16" x14ac:dyDescent="0.3">
      <c r="G694" t="s">
        <v>1875</v>
      </c>
      <c r="H694" s="76" t="s">
        <v>566</v>
      </c>
      <c r="I694" s="76" t="s">
        <v>567</v>
      </c>
      <c r="J694" s="76" t="s">
        <v>360</v>
      </c>
      <c r="K694" s="77">
        <v>42409</v>
      </c>
      <c r="L694" s="76" t="s">
        <v>361</v>
      </c>
      <c r="M694" s="76" t="s">
        <v>1370</v>
      </c>
      <c r="N694" s="76">
        <v>80</v>
      </c>
      <c r="O694" s="76">
        <v>78</v>
      </c>
      <c r="P694" s="78">
        <v>2.5000000000000001E-2</v>
      </c>
    </row>
    <row r="695" spans="7:16" x14ac:dyDescent="0.3">
      <c r="G695" t="s">
        <v>1876</v>
      </c>
      <c r="H695" s="76" t="s">
        <v>409</v>
      </c>
      <c r="I695" s="76" t="s">
        <v>410</v>
      </c>
      <c r="J695" s="76" t="s">
        <v>360</v>
      </c>
      <c r="K695" s="76" t="s">
        <v>1877</v>
      </c>
      <c r="L695" s="76" t="s">
        <v>405</v>
      </c>
      <c r="M695" s="76" t="s">
        <v>1668</v>
      </c>
      <c r="N695" s="76">
        <v>800</v>
      </c>
      <c r="O695" s="76">
        <v>552</v>
      </c>
      <c r="P695" s="78">
        <v>0.31</v>
      </c>
    </row>
    <row r="696" spans="7:16" x14ac:dyDescent="0.3">
      <c r="G696" t="s">
        <v>1878</v>
      </c>
      <c r="H696" s="76" t="s">
        <v>656</v>
      </c>
      <c r="I696" s="76" t="s">
        <v>657</v>
      </c>
      <c r="J696" s="76" t="s">
        <v>360</v>
      </c>
      <c r="K696" s="77">
        <v>41980</v>
      </c>
      <c r="L696" s="76" t="s">
        <v>424</v>
      </c>
      <c r="M696" s="76" t="s">
        <v>813</v>
      </c>
      <c r="N696" s="76">
        <v>500</v>
      </c>
      <c r="O696" s="76">
        <v>495</v>
      </c>
      <c r="P696" s="78">
        <v>0.01</v>
      </c>
    </row>
    <row r="697" spans="7:16" x14ac:dyDescent="0.3">
      <c r="G697" t="s">
        <v>1879</v>
      </c>
      <c r="H697" s="76" t="s">
        <v>494</v>
      </c>
      <c r="I697" s="76" t="s">
        <v>465</v>
      </c>
      <c r="J697" s="76" t="s">
        <v>366</v>
      </c>
      <c r="K697" s="77">
        <v>42524</v>
      </c>
      <c r="L697" s="76" t="s">
        <v>411</v>
      </c>
      <c r="M697" s="76" t="s">
        <v>495</v>
      </c>
      <c r="N697" s="76">
        <v>1000</v>
      </c>
      <c r="O697" s="76">
        <v>1000</v>
      </c>
      <c r="P697" s="78">
        <v>0</v>
      </c>
    </row>
    <row r="698" spans="7:16" x14ac:dyDescent="0.3">
      <c r="G698" t="s">
        <v>1880</v>
      </c>
      <c r="H698" s="76" t="s">
        <v>394</v>
      </c>
      <c r="I698" s="76" t="s">
        <v>395</v>
      </c>
      <c r="J698" s="76" t="s">
        <v>372</v>
      </c>
      <c r="K698" s="76" t="s">
        <v>806</v>
      </c>
      <c r="L698" s="76" t="s">
        <v>385</v>
      </c>
      <c r="M698" s="76" t="s">
        <v>1881</v>
      </c>
      <c r="N698" s="76">
        <v>50</v>
      </c>
      <c r="O698" s="76">
        <v>43</v>
      </c>
      <c r="P698" s="78">
        <v>0.14000000000000001</v>
      </c>
    </row>
    <row r="699" spans="7:16" x14ac:dyDescent="0.3">
      <c r="G699" t="s">
        <v>1882</v>
      </c>
      <c r="H699" s="76" t="s">
        <v>611</v>
      </c>
      <c r="I699" s="76" t="s">
        <v>389</v>
      </c>
      <c r="J699" s="76" t="s">
        <v>384</v>
      </c>
      <c r="K699" s="77">
        <v>43161</v>
      </c>
      <c r="L699" s="76" t="s">
        <v>475</v>
      </c>
      <c r="M699" s="76" t="s">
        <v>1883</v>
      </c>
      <c r="N699" s="76">
        <v>250</v>
      </c>
      <c r="O699" s="76">
        <v>250</v>
      </c>
      <c r="P699" s="78">
        <v>0</v>
      </c>
    </row>
    <row r="700" spans="7:16" x14ac:dyDescent="0.3">
      <c r="G700" t="s">
        <v>1884</v>
      </c>
      <c r="H700" s="76" t="s">
        <v>668</v>
      </c>
      <c r="I700" s="76" t="s">
        <v>669</v>
      </c>
      <c r="J700" s="76" t="s">
        <v>360</v>
      </c>
      <c r="K700" s="76" t="s">
        <v>1885</v>
      </c>
      <c r="L700" s="76" t="s">
        <v>391</v>
      </c>
      <c r="M700" s="76" t="s">
        <v>736</v>
      </c>
      <c r="N700" s="76">
        <v>30</v>
      </c>
      <c r="O700" s="76">
        <v>23</v>
      </c>
      <c r="P700" s="78">
        <v>0.23330000000000001</v>
      </c>
    </row>
    <row r="701" spans="7:16" x14ac:dyDescent="0.3">
      <c r="G701" t="s">
        <v>1886</v>
      </c>
      <c r="H701" s="76" t="s">
        <v>414</v>
      </c>
      <c r="I701" s="76" t="s">
        <v>415</v>
      </c>
      <c r="J701" s="76" t="s">
        <v>384</v>
      </c>
      <c r="K701" s="77">
        <v>42125</v>
      </c>
      <c r="L701" s="76" t="s">
        <v>424</v>
      </c>
      <c r="M701" s="76" t="s">
        <v>417</v>
      </c>
      <c r="N701" s="76">
        <v>500</v>
      </c>
      <c r="O701" s="76">
        <v>490</v>
      </c>
      <c r="P701" s="78">
        <v>0.02</v>
      </c>
    </row>
    <row r="702" spans="7:16" x14ac:dyDescent="0.3">
      <c r="G702" t="s">
        <v>1887</v>
      </c>
      <c r="H702" s="76" t="s">
        <v>370</v>
      </c>
      <c r="I702" s="76" t="s">
        <v>371</v>
      </c>
      <c r="J702" s="76" t="s">
        <v>372</v>
      </c>
      <c r="K702" s="77">
        <v>41949</v>
      </c>
      <c r="L702" s="76" t="s">
        <v>396</v>
      </c>
      <c r="M702" s="76" t="s">
        <v>731</v>
      </c>
      <c r="N702" s="76">
        <v>500</v>
      </c>
      <c r="O702" s="76">
        <v>425</v>
      </c>
      <c r="P702" s="78">
        <v>0.15</v>
      </c>
    </row>
    <row r="703" spans="7:16" x14ac:dyDescent="0.3">
      <c r="G703" t="s">
        <v>1888</v>
      </c>
      <c r="H703" s="76" t="s">
        <v>845</v>
      </c>
      <c r="I703" s="76" t="s">
        <v>846</v>
      </c>
      <c r="J703" s="76" t="s">
        <v>360</v>
      </c>
      <c r="K703" s="77">
        <v>43256</v>
      </c>
      <c r="L703" s="76" t="s">
        <v>475</v>
      </c>
      <c r="M703" s="76" t="s">
        <v>1240</v>
      </c>
      <c r="N703" s="76">
        <v>250</v>
      </c>
      <c r="O703" s="76">
        <v>223</v>
      </c>
      <c r="P703" s="78">
        <v>0.108</v>
      </c>
    </row>
    <row r="704" spans="7:16" x14ac:dyDescent="0.3">
      <c r="G704" t="s">
        <v>1889</v>
      </c>
      <c r="H704" s="76" t="s">
        <v>524</v>
      </c>
      <c r="I704" s="76" t="s">
        <v>465</v>
      </c>
      <c r="J704" s="76" t="s">
        <v>366</v>
      </c>
      <c r="K704" s="76" t="s">
        <v>1890</v>
      </c>
      <c r="L704" s="76" t="s">
        <v>373</v>
      </c>
      <c r="M704" s="76" t="s">
        <v>1891</v>
      </c>
      <c r="N704" s="76">
        <v>700</v>
      </c>
      <c r="O704" s="76">
        <v>693</v>
      </c>
      <c r="P704" s="78">
        <v>0.01</v>
      </c>
    </row>
    <row r="705" spans="7:16" x14ac:dyDescent="0.3">
      <c r="G705" t="s">
        <v>1892</v>
      </c>
      <c r="H705" s="76" t="s">
        <v>464</v>
      </c>
      <c r="I705" s="76" t="s">
        <v>465</v>
      </c>
      <c r="J705" s="76" t="s">
        <v>366</v>
      </c>
      <c r="K705" s="76" t="s">
        <v>1802</v>
      </c>
      <c r="L705" s="76" t="s">
        <v>379</v>
      </c>
      <c r="M705" s="76" t="s">
        <v>467</v>
      </c>
      <c r="N705" s="76">
        <v>150</v>
      </c>
      <c r="O705" s="76">
        <v>147</v>
      </c>
      <c r="P705" s="78">
        <v>0.02</v>
      </c>
    </row>
    <row r="706" spans="7:16" x14ac:dyDescent="0.3">
      <c r="G706" t="s">
        <v>1893</v>
      </c>
      <c r="H706" s="76" t="s">
        <v>611</v>
      </c>
      <c r="I706" s="76" t="s">
        <v>389</v>
      </c>
      <c r="J706" s="76" t="s">
        <v>384</v>
      </c>
      <c r="K706" s="77">
        <v>43169</v>
      </c>
      <c r="L706" s="76" t="s">
        <v>391</v>
      </c>
      <c r="M706" s="76" t="s">
        <v>1883</v>
      </c>
      <c r="N706" s="76">
        <v>30</v>
      </c>
      <c r="O706" s="76">
        <v>26</v>
      </c>
      <c r="P706" s="78">
        <v>0.1333</v>
      </c>
    </row>
    <row r="707" spans="7:16" x14ac:dyDescent="0.3">
      <c r="G707" t="s">
        <v>1894</v>
      </c>
      <c r="H707" s="76" t="s">
        <v>656</v>
      </c>
      <c r="I707" s="76" t="s">
        <v>657</v>
      </c>
      <c r="J707" s="76" t="s">
        <v>360</v>
      </c>
      <c r="K707" s="76" t="s">
        <v>1895</v>
      </c>
      <c r="L707" s="76" t="s">
        <v>391</v>
      </c>
      <c r="M707" s="76" t="s">
        <v>1383</v>
      </c>
      <c r="N707" s="76">
        <v>30</v>
      </c>
      <c r="O707" s="76">
        <v>29</v>
      </c>
      <c r="P707" s="78">
        <v>3.3300000000000003E-2</v>
      </c>
    </row>
    <row r="708" spans="7:16" x14ac:dyDescent="0.3">
      <c r="G708" t="s">
        <v>1896</v>
      </c>
      <c r="H708" s="76" t="s">
        <v>485</v>
      </c>
      <c r="I708" s="76" t="s">
        <v>389</v>
      </c>
      <c r="J708" s="76" t="s">
        <v>384</v>
      </c>
      <c r="K708" s="77">
        <v>41769</v>
      </c>
      <c r="L708" s="76" t="s">
        <v>379</v>
      </c>
      <c r="M708" s="76" t="s">
        <v>1608</v>
      </c>
      <c r="N708" s="76">
        <v>150</v>
      </c>
      <c r="O708" s="76">
        <v>105</v>
      </c>
      <c r="P708" s="78">
        <v>0.3</v>
      </c>
    </row>
    <row r="709" spans="7:16" x14ac:dyDescent="0.3">
      <c r="G709" t="s">
        <v>1897</v>
      </c>
      <c r="H709" s="76" t="s">
        <v>364</v>
      </c>
      <c r="I709" s="76" t="s">
        <v>365</v>
      </c>
      <c r="J709" s="76" t="s">
        <v>366</v>
      </c>
      <c r="K709" s="76" t="s">
        <v>1898</v>
      </c>
      <c r="L709" s="76" t="s">
        <v>483</v>
      </c>
      <c r="M709" s="76" t="s">
        <v>973</v>
      </c>
      <c r="N709" s="76">
        <v>50</v>
      </c>
      <c r="O709" s="76">
        <v>50</v>
      </c>
      <c r="P709" s="78">
        <v>0</v>
      </c>
    </row>
    <row r="710" spans="7:16" x14ac:dyDescent="0.3">
      <c r="G710" t="s">
        <v>1899</v>
      </c>
      <c r="H710" s="76" t="s">
        <v>747</v>
      </c>
      <c r="I710" s="76" t="s">
        <v>748</v>
      </c>
      <c r="J710" s="76" t="s">
        <v>360</v>
      </c>
      <c r="K710" s="76" t="s">
        <v>1900</v>
      </c>
      <c r="L710" s="76" t="s">
        <v>405</v>
      </c>
      <c r="M710" s="76" t="s">
        <v>1901</v>
      </c>
      <c r="N710" s="76">
        <v>800</v>
      </c>
      <c r="O710" s="76">
        <v>480</v>
      </c>
      <c r="P710" s="78">
        <v>0.4</v>
      </c>
    </row>
    <row r="711" spans="7:16" x14ac:dyDescent="0.3">
      <c r="G711" t="s">
        <v>1902</v>
      </c>
      <c r="H711" s="76" t="s">
        <v>619</v>
      </c>
      <c r="I711" s="76" t="s">
        <v>620</v>
      </c>
      <c r="J711" s="76" t="s">
        <v>372</v>
      </c>
      <c r="K711" s="77">
        <v>42555</v>
      </c>
      <c r="L711" s="76" t="s">
        <v>424</v>
      </c>
      <c r="M711" s="76" t="s">
        <v>1476</v>
      </c>
      <c r="N711" s="76">
        <v>500</v>
      </c>
      <c r="O711" s="76">
        <v>500</v>
      </c>
      <c r="P711" s="78">
        <v>0</v>
      </c>
    </row>
    <row r="712" spans="7:16" x14ac:dyDescent="0.3">
      <c r="G712" t="s">
        <v>1903</v>
      </c>
      <c r="H712" s="76" t="s">
        <v>364</v>
      </c>
      <c r="I712" s="76" t="s">
        <v>365</v>
      </c>
      <c r="J712" s="76" t="s">
        <v>366</v>
      </c>
      <c r="K712" s="76" t="s">
        <v>1004</v>
      </c>
      <c r="L712" s="76" t="s">
        <v>385</v>
      </c>
      <c r="M712" s="76" t="s">
        <v>1350</v>
      </c>
      <c r="N712" s="76">
        <v>50</v>
      </c>
      <c r="O712" s="76">
        <v>40</v>
      </c>
      <c r="P712" s="78">
        <v>0.2</v>
      </c>
    </row>
    <row r="713" spans="7:16" x14ac:dyDescent="0.3">
      <c r="G713" t="s">
        <v>1904</v>
      </c>
      <c r="H713" s="76" t="s">
        <v>464</v>
      </c>
      <c r="I713" s="76" t="s">
        <v>465</v>
      </c>
      <c r="J713" s="76" t="s">
        <v>366</v>
      </c>
      <c r="K713" s="76" t="s">
        <v>1463</v>
      </c>
      <c r="L713" s="76" t="s">
        <v>411</v>
      </c>
      <c r="M713" s="76" t="s">
        <v>1021</v>
      </c>
      <c r="N713" s="76">
        <v>1000</v>
      </c>
      <c r="O713" s="76">
        <v>620</v>
      </c>
      <c r="P713" s="78">
        <v>0.38</v>
      </c>
    </row>
    <row r="714" spans="7:16" x14ac:dyDescent="0.3">
      <c r="G714" t="s">
        <v>1905</v>
      </c>
      <c r="H714" s="76" t="s">
        <v>358</v>
      </c>
      <c r="I714" s="76" t="s">
        <v>359</v>
      </c>
      <c r="J714" s="76" t="s">
        <v>360</v>
      </c>
      <c r="K714" s="77">
        <v>41733</v>
      </c>
      <c r="L714" s="76" t="s">
        <v>385</v>
      </c>
      <c r="M714" s="76" t="s">
        <v>575</v>
      </c>
      <c r="N714" s="76">
        <v>50</v>
      </c>
      <c r="O714" s="76">
        <v>50</v>
      </c>
      <c r="P714" s="78">
        <v>0</v>
      </c>
    </row>
    <row r="715" spans="7:16" x14ac:dyDescent="0.3">
      <c r="G715" t="s">
        <v>1906</v>
      </c>
      <c r="H715" s="76" t="s">
        <v>421</v>
      </c>
      <c r="I715" s="76" t="s">
        <v>422</v>
      </c>
      <c r="J715" s="76" t="s">
        <v>384</v>
      </c>
      <c r="K715" s="76" t="s">
        <v>1217</v>
      </c>
      <c r="L715" s="76" t="s">
        <v>379</v>
      </c>
      <c r="M715" s="76" t="s">
        <v>752</v>
      </c>
      <c r="N715" s="76">
        <v>150</v>
      </c>
      <c r="O715" s="76">
        <v>98</v>
      </c>
      <c r="P715" s="78">
        <v>0.34670000000000001</v>
      </c>
    </row>
    <row r="716" spans="7:16" x14ac:dyDescent="0.3">
      <c r="G716" t="s">
        <v>1907</v>
      </c>
      <c r="H716" s="76" t="s">
        <v>638</v>
      </c>
      <c r="I716" s="76" t="s">
        <v>639</v>
      </c>
      <c r="J716" s="76" t="s">
        <v>360</v>
      </c>
      <c r="K716" s="76" t="s">
        <v>1908</v>
      </c>
      <c r="L716" s="76" t="s">
        <v>373</v>
      </c>
      <c r="M716" s="76" t="s">
        <v>1148</v>
      </c>
      <c r="N716" s="76">
        <v>700</v>
      </c>
      <c r="O716" s="76">
        <v>700</v>
      </c>
      <c r="P716" s="78">
        <v>0</v>
      </c>
    </row>
    <row r="717" spans="7:16" x14ac:dyDescent="0.3">
      <c r="G717" t="s">
        <v>1909</v>
      </c>
      <c r="H717" s="76" t="s">
        <v>429</v>
      </c>
      <c r="I717" s="76" t="s">
        <v>430</v>
      </c>
      <c r="J717" s="76" t="s">
        <v>384</v>
      </c>
      <c r="K717" s="76" t="s">
        <v>1910</v>
      </c>
      <c r="L717" s="76" t="s">
        <v>385</v>
      </c>
      <c r="M717" s="76" t="s">
        <v>1209</v>
      </c>
      <c r="N717" s="76">
        <v>50</v>
      </c>
      <c r="O717" s="76">
        <v>37</v>
      </c>
      <c r="P717" s="78">
        <v>0.26</v>
      </c>
    </row>
    <row r="718" spans="7:16" x14ac:dyDescent="0.3">
      <c r="G718" t="s">
        <v>1911</v>
      </c>
      <c r="H718" s="76" t="s">
        <v>414</v>
      </c>
      <c r="I718" s="76" t="s">
        <v>415</v>
      </c>
      <c r="J718" s="76" t="s">
        <v>384</v>
      </c>
      <c r="K718" s="77">
        <v>43015</v>
      </c>
      <c r="L718" s="76" t="s">
        <v>391</v>
      </c>
      <c r="M718" s="76" t="s">
        <v>417</v>
      </c>
      <c r="N718" s="76">
        <v>30</v>
      </c>
      <c r="O718" s="76">
        <v>29</v>
      </c>
      <c r="P718" s="78">
        <v>3.3300000000000003E-2</v>
      </c>
    </row>
    <row r="719" spans="7:16" x14ac:dyDescent="0.3">
      <c r="G719" t="s">
        <v>1912</v>
      </c>
      <c r="H719" s="76" t="s">
        <v>358</v>
      </c>
      <c r="I719" s="76" t="s">
        <v>359</v>
      </c>
      <c r="J719" s="76" t="s">
        <v>360</v>
      </c>
      <c r="K719" s="76" t="s">
        <v>1913</v>
      </c>
      <c r="L719" s="76" t="s">
        <v>373</v>
      </c>
      <c r="M719" s="76" t="s">
        <v>780</v>
      </c>
      <c r="N719" s="76">
        <v>700</v>
      </c>
      <c r="O719" s="76">
        <v>679</v>
      </c>
      <c r="P719" s="78">
        <v>0.03</v>
      </c>
    </row>
    <row r="720" spans="7:16" x14ac:dyDescent="0.3">
      <c r="G720" t="s">
        <v>1914</v>
      </c>
      <c r="H720" s="76" t="s">
        <v>399</v>
      </c>
      <c r="I720" s="76" t="s">
        <v>400</v>
      </c>
      <c r="J720" s="76" t="s">
        <v>372</v>
      </c>
      <c r="K720" s="77">
        <v>42164</v>
      </c>
      <c r="L720" s="76" t="s">
        <v>424</v>
      </c>
      <c r="M720" s="76" t="s">
        <v>843</v>
      </c>
      <c r="N720" s="76">
        <v>500</v>
      </c>
      <c r="O720" s="76">
        <v>495</v>
      </c>
      <c r="P720" s="78">
        <v>0.01</v>
      </c>
    </row>
    <row r="721" spans="7:16" x14ac:dyDescent="0.3">
      <c r="G721" t="s">
        <v>1915</v>
      </c>
      <c r="H721" s="76" t="s">
        <v>364</v>
      </c>
      <c r="I721" s="76" t="s">
        <v>365</v>
      </c>
      <c r="J721" s="76" t="s">
        <v>366</v>
      </c>
      <c r="K721" s="76" t="s">
        <v>1916</v>
      </c>
      <c r="L721" s="76" t="s">
        <v>483</v>
      </c>
      <c r="M721" s="76" t="s">
        <v>368</v>
      </c>
      <c r="N721" s="76">
        <v>50</v>
      </c>
      <c r="O721" s="76">
        <v>36</v>
      </c>
      <c r="P721" s="78">
        <v>0.28000000000000003</v>
      </c>
    </row>
    <row r="722" spans="7:16" x14ac:dyDescent="0.3">
      <c r="G722" t="s">
        <v>1917</v>
      </c>
      <c r="H722" s="76" t="s">
        <v>845</v>
      </c>
      <c r="I722" s="76" t="s">
        <v>846</v>
      </c>
      <c r="J722" s="76" t="s">
        <v>360</v>
      </c>
      <c r="K722" s="77">
        <v>42217</v>
      </c>
      <c r="L722" s="76" t="s">
        <v>385</v>
      </c>
      <c r="M722" s="76" t="s">
        <v>1868</v>
      </c>
      <c r="N722" s="76">
        <v>50</v>
      </c>
      <c r="O722" s="76">
        <v>48</v>
      </c>
      <c r="P722" s="78">
        <v>0.04</v>
      </c>
    </row>
    <row r="723" spans="7:16" x14ac:dyDescent="0.3">
      <c r="G723" t="s">
        <v>1918</v>
      </c>
      <c r="H723" s="76" t="s">
        <v>403</v>
      </c>
      <c r="I723" s="76" t="s">
        <v>404</v>
      </c>
      <c r="J723" s="76" t="s">
        <v>360</v>
      </c>
      <c r="K723" s="76" t="s">
        <v>1058</v>
      </c>
      <c r="L723" s="76" t="s">
        <v>396</v>
      </c>
      <c r="M723" s="76" t="s">
        <v>1919</v>
      </c>
      <c r="N723" s="76">
        <v>500</v>
      </c>
      <c r="O723" s="76">
        <v>475</v>
      </c>
      <c r="P723" s="78">
        <v>0.05</v>
      </c>
    </row>
    <row r="724" spans="7:16" x14ac:dyDescent="0.3">
      <c r="G724" t="s">
        <v>1920</v>
      </c>
      <c r="H724" s="76" t="s">
        <v>656</v>
      </c>
      <c r="I724" s="76" t="s">
        <v>657</v>
      </c>
      <c r="J724" s="76" t="s">
        <v>360</v>
      </c>
      <c r="K724" s="76" t="s">
        <v>1087</v>
      </c>
      <c r="L724" s="76" t="s">
        <v>385</v>
      </c>
      <c r="M724" s="76" t="s">
        <v>1921</v>
      </c>
      <c r="N724" s="76">
        <v>50</v>
      </c>
      <c r="O724" s="76">
        <v>43</v>
      </c>
      <c r="P724" s="78">
        <v>0.14000000000000001</v>
      </c>
    </row>
    <row r="725" spans="7:16" x14ac:dyDescent="0.3">
      <c r="G725" t="s">
        <v>1922</v>
      </c>
      <c r="H725" s="76" t="s">
        <v>619</v>
      </c>
      <c r="I725" s="76" t="s">
        <v>620</v>
      </c>
      <c r="J725" s="76" t="s">
        <v>372</v>
      </c>
      <c r="K725" s="76" t="s">
        <v>1923</v>
      </c>
      <c r="L725" s="76" t="s">
        <v>475</v>
      </c>
      <c r="M725" s="76" t="s">
        <v>1230</v>
      </c>
      <c r="N725" s="76">
        <v>250</v>
      </c>
      <c r="O725" s="76">
        <v>235</v>
      </c>
      <c r="P725" s="78">
        <v>0.06</v>
      </c>
    </row>
    <row r="726" spans="7:16" x14ac:dyDescent="0.3">
      <c r="G726" t="s">
        <v>1924</v>
      </c>
      <c r="H726" s="76" t="s">
        <v>514</v>
      </c>
      <c r="I726" s="76" t="s">
        <v>515</v>
      </c>
      <c r="J726" s="76" t="s">
        <v>360</v>
      </c>
      <c r="K726" s="77">
        <v>43316</v>
      </c>
      <c r="L726" s="76" t="s">
        <v>483</v>
      </c>
      <c r="M726" s="76" t="s">
        <v>1424</v>
      </c>
      <c r="N726" s="76">
        <v>50</v>
      </c>
      <c r="O726" s="76">
        <v>43</v>
      </c>
      <c r="P726" s="78">
        <v>0.14000000000000001</v>
      </c>
    </row>
    <row r="727" spans="7:16" x14ac:dyDescent="0.3">
      <c r="G727" t="s">
        <v>1925</v>
      </c>
      <c r="H727" s="76" t="s">
        <v>615</v>
      </c>
      <c r="I727" s="76" t="s">
        <v>400</v>
      </c>
      <c r="J727" s="76" t="s">
        <v>372</v>
      </c>
      <c r="K727" s="76" t="s">
        <v>1926</v>
      </c>
      <c r="L727" s="76" t="s">
        <v>391</v>
      </c>
      <c r="M727" s="76" t="s">
        <v>992</v>
      </c>
      <c r="N727" s="76">
        <v>30</v>
      </c>
      <c r="O727" s="76">
        <v>26</v>
      </c>
      <c r="P727" s="78">
        <v>0.1333</v>
      </c>
    </row>
    <row r="728" spans="7:16" x14ac:dyDescent="0.3">
      <c r="G728" t="s">
        <v>1927</v>
      </c>
      <c r="H728" s="76" t="s">
        <v>399</v>
      </c>
      <c r="I728" s="76" t="s">
        <v>400</v>
      </c>
      <c r="J728" s="76" t="s">
        <v>372</v>
      </c>
      <c r="K728" s="76" t="s">
        <v>1928</v>
      </c>
      <c r="L728" s="76" t="s">
        <v>461</v>
      </c>
      <c r="M728" s="76" t="s">
        <v>815</v>
      </c>
      <c r="N728" s="76">
        <v>70</v>
      </c>
      <c r="O728" s="76">
        <v>53</v>
      </c>
      <c r="P728" s="78">
        <v>0.2429</v>
      </c>
    </row>
    <row r="729" spans="7:16" x14ac:dyDescent="0.3">
      <c r="G729" t="s">
        <v>1929</v>
      </c>
      <c r="H729" s="76" t="s">
        <v>444</v>
      </c>
      <c r="I729" s="76" t="s">
        <v>445</v>
      </c>
      <c r="J729" s="76" t="s">
        <v>384</v>
      </c>
      <c r="K729" s="76" t="s">
        <v>1930</v>
      </c>
      <c r="L729" s="76" t="s">
        <v>379</v>
      </c>
      <c r="M729" s="76" t="s">
        <v>1564</v>
      </c>
      <c r="N729" s="76">
        <v>150</v>
      </c>
      <c r="O729" s="76">
        <v>149</v>
      </c>
      <c r="P729" s="78">
        <v>6.7000000000000002E-3</v>
      </c>
    </row>
    <row r="730" spans="7:16" x14ac:dyDescent="0.3">
      <c r="G730" t="s">
        <v>1931</v>
      </c>
      <c r="H730" s="76" t="s">
        <v>519</v>
      </c>
      <c r="I730" s="76" t="s">
        <v>520</v>
      </c>
      <c r="J730" s="76" t="s">
        <v>360</v>
      </c>
      <c r="K730" s="76" t="s">
        <v>1932</v>
      </c>
      <c r="L730" s="76" t="s">
        <v>475</v>
      </c>
      <c r="M730" s="76" t="s">
        <v>1416</v>
      </c>
      <c r="N730" s="76">
        <v>250</v>
      </c>
      <c r="O730" s="76">
        <v>228</v>
      </c>
      <c r="P730" s="78">
        <v>8.7999999999999995E-2</v>
      </c>
    </row>
    <row r="731" spans="7:16" x14ac:dyDescent="0.3">
      <c r="G731" t="s">
        <v>1933</v>
      </c>
      <c r="H731" s="76" t="s">
        <v>514</v>
      </c>
      <c r="I731" s="76" t="s">
        <v>515</v>
      </c>
      <c r="J731" s="76" t="s">
        <v>360</v>
      </c>
      <c r="K731" s="76" t="s">
        <v>1934</v>
      </c>
      <c r="L731" s="76" t="s">
        <v>461</v>
      </c>
      <c r="M731" s="76" t="s">
        <v>1658</v>
      </c>
      <c r="N731" s="76">
        <v>70</v>
      </c>
      <c r="O731" s="76">
        <v>64</v>
      </c>
      <c r="P731" s="78">
        <v>8.5699999999999998E-2</v>
      </c>
    </row>
    <row r="732" spans="7:16" x14ac:dyDescent="0.3">
      <c r="G732" t="s">
        <v>1935</v>
      </c>
      <c r="H732" s="76" t="s">
        <v>376</v>
      </c>
      <c r="I732" s="76" t="s">
        <v>377</v>
      </c>
      <c r="J732" s="76" t="s">
        <v>360</v>
      </c>
      <c r="K732" s="77">
        <v>42528</v>
      </c>
      <c r="L732" s="76" t="s">
        <v>391</v>
      </c>
      <c r="M732" s="76" t="s">
        <v>649</v>
      </c>
      <c r="N732" s="76">
        <v>30</v>
      </c>
      <c r="O732" s="76">
        <v>27</v>
      </c>
      <c r="P732" s="78">
        <v>0.1</v>
      </c>
    </row>
    <row r="733" spans="7:16" x14ac:dyDescent="0.3">
      <c r="G733" t="s">
        <v>1936</v>
      </c>
      <c r="H733" s="76" t="s">
        <v>469</v>
      </c>
      <c r="I733" s="76" t="s">
        <v>435</v>
      </c>
      <c r="J733" s="76" t="s">
        <v>360</v>
      </c>
      <c r="K733" s="76" t="s">
        <v>1937</v>
      </c>
      <c r="L733" s="76" t="s">
        <v>405</v>
      </c>
      <c r="M733" s="76" t="s">
        <v>1938</v>
      </c>
      <c r="N733" s="76">
        <v>800</v>
      </c>
      <c r="O733" s="76">
        <v>648</v>
      </c>
      <c r="P733" s="78">
        <v>0.19</v>
      </c>
    </row>
    <row r="734" spans="7:16" x14ac:dyDescent="0.3">
      <c r="G734" t="s">
        <v>1939</v>
      </c>
      <c r="H734" s="76" t="s">
        <v>524</v>
      </c>
      <c r="I734" s="76" t="s">
        <v>465</v>
      </c>
      <c r="J734" s="76" t="s">
        <v>366</v>
      </c>
      <c r="K734" s="77">
        <v>42282</v>
      </c>
      <c r="L734" s="76" t="s">
        <v>391</v>
      </c>
      <c r="M734" s="76" t="s">
        <v>1655</v>
      </c>
      <c r="N734" s="76">
        <v>30</v>
      </c>
      <c r="O734" s="76">
        <v>30</v>
      </c>
      <c r="P734" s="78">
        <v>0</v>
      </c>
    </row>
    <row r="735" spans="7:16" x14ac:dyDescent="0.3">
      <c r="G735" t="s">
        <v>1940</v>
      </c>
      <c r="H735" s="76" t="s">
        <v>473</v>
      </c>
      <c r="I735" s="76" t="s">
        <v>404</v>
      </c>
      <c r="J735" s="76" t="s">
        <v>360</v>
      </c>
      <c r="K735" s="76" t="s">
        <v>1941</v>
      </c>
      <c r="L735" s="76" t="s">
        <v>405</v>
      </c>
      <c r="M735" s="76" t="s">
        <v>1942</v>
      </c>
      <c r="N735" s="76">
        <v>800</v>
      </c>
      <c r="O735" s="76">
        <v>488</v>
      </c>
      <c r="P735" s="78">
        <v>0.39</v>
      </c>
    </row>
    <row r="736" spans="7:16" x14ac:dyDescent="0.3">
      <c r="G736" t="s">
        <v>1943</v>
      </c>
      <c r="H736" s="76" t="s">
        <v>434</v>
      </c>
      <c r="I736" s="76" t="s">
        <v>435</v>
      </c>
      <c r="J736" s="76" t="s">
        <v>360</v>
      </c>
      <c r="K736" s="77">
        <v>41825</v>
      </c>
      <c r="L736" s="76" t="s">
        <v>373</v>
      </c>
      <c r="M736" s="76" t="s">
        <v>1584</v>
      </c>
      <c r="N736" s="76">
        <v>700</v>
      </c>
      <c r="O736" s="76">
        <v>546</v>
      </c>
      <c r="P736" s="78">
        <v>0.22</v>
      </c>
    </row>
    <row r="737" spans="7:16" x14ac:dyDescent="0.3">
      <c r="G737" t="s">
        <v>1944</v>
      </c>
      <c r="H737" s="76" t="s">
        <v>700</v>
      </c>
      <c r="I737" s="76" t="s">
        <v>465</v>
      </c>
      <c r="J737" s="76" t="s">
        <v>366</v>
      </c>
      <c r="K737" s="77">
        <v>42622</v>
      </c>
      <c r="L737" s="76" t="s">
        <v>475</v>
      </c>
      <c r="M737" s="76" t="s">
        <v>981</v>
      </c>
      <c r="N737" s="76">
        <v>250</v>
      </c>
      <c r="O737" s="76">
        <v>248</v>
      </c>
      <c r="P737" s="78">
        <v>8.0000000000000002E-3</v>
      </c>
    </row>
    <row r="738" spans="7:16" x14ac:dyDescent="0.3">
      <c r="G738" t="s">
        <v>1945</v>
      </c>
      <c r="H738" s="76" t="s">
        <v>449</v>
      </c>
      <c r="I738" s="76" t="s">
        <v>450</v>
      </c>
      <c r="J738" s="76" t="s">
        <v>360</v>
      </c>
      <c r="K738" s="77">
        <v>42651</v>
      </c>
      <c r="L738" s="76" t="s">
        <v>475</v>
      </c>
      <c r="M738" s="76" t="s">
        <v>1340</v>
      </c>
      <c r="N738" s="76">
        <v>250</v>
      </c>
      <c r="O738" s="76">
        <v>243</v>
      </c>
      <c r="P738" s="78">
        <v>2.8000000000000001E-2</v>
      </c>
    </row>
    <row r="739" spans="7:16" x14ac:dyDescent="0.3">
      <c r="G739" t="s">
        <v>1946</v>
      </c>
      <c r="H739" s="76" t="s">
        <v>414</v>
      </c>
      <c r="I739" s="76" t="s">
        <v>415</v>
      </c>
      <c r="J739" s="76" t="s">
        <v>384</v>
      </c>
      <c r="K739" s="76" t="s">
        <v>1947</v>
      </c>
      <c r="L739" s="76" t="s">
        <v>385</v>
      </c>
      <c r="M739" s="76" t="s">
        <v>1726</v>
      </c>
      <c r="N739" s="76">
        <v>50</v>
      </c>
      <c r="O739" s="76">
        <v>49</v>
      </c>
      <c r="P739" s="78">
        <v>0.02</v>
      </c>
    </row>
    <row r="740" spans="7:16" x14ac:dyDescent="0.3">
      <c r="G740" t="s">
        <v>1948</v>
      </c>
      <c r="H740" s="76" t="s">
        <v>700</v>
      </c>
      <c r="I740" s="76" t="s">
        <v>465</v>
      </c>
      <c r="J740" s="76" t="s">
        <v>366</v>
      </c>
      <c r="K740" s="76" t="s">
        <v>1949</v>
      </c>
      <c r="L740" s="76" t="s">
        <v>475</v>
      </c>
      <c r="M740" s="76" t="s">
        <v>956</v>
      </c>
      <c r="N740" s="76">
        <v>250</v>
      </c>
      <c r="O740" s="76">
        <v>250</v>
      </c>
      <c r="P740" s="78">
        <v>0</v>
      </c>
    </row>
    <row r="741" spans="7:16" x14ac:dyDescent="0.3">
      <c r="G741" t="s">
        <v>1950</v>
      </c>
      <c r="H741" s="76" t="s">
        <v>376</v>
      </c>
      <c r="I741" s="76" t="s">
        <v>377</v>
      </c>
      <c r="J741" s="76" t="s">
        <v>360</v>
      </c>
      <c r="K741" s="76" t="s">
        <v>882</v>
      </c>
      <c r="L741" s="76" t="s">
        <v>385</v>
      </c>
      <c r="M741" s="76" t="s">
        <v>380</v>
      </c>
      <c r="N741" s="76">
        <v>50</v>
      </c>
      <c r="O741" s="76">
        <v>47</v>
      </c>
      <c r="P741" s="78">
        <v>0.06</v>
      </c>
    </row>
    <row r="742" spans="7:16" x14ac:dyDescent="0.3">
      <c r="G742" t="s">
        <v>1951</v>
      </c>
      <c r="H742" s="76" t="s">
        <v>494</v>
      </c>
      <c r="I742" s="76" t="s">
        <v>465</v>
      </c>
      <c r="J742" s="76" t="s">
        <v>366</v>
      </c>
      <c r="K742" s="76" t="s">
        <v>1324</v>
      </c>
      <c r="L742" s="76" t="s">
        <v>373</v>
      </c>
      <c r="M742" s="76" t="s">
        <v>820</v>
      </c>
      <c r="N742" s="76">
        <v>700</v>
      </c>
      <c r="O742" s="76">
        <v>644</v>
      </c>
      <c r="P742" s="78">
        <v>0.08</v>
      </c>
    </row>
    <row r="743" spans="7:16" x14ac:dyDescent="0.3">
      <c r="G743" t="s">
        <v>1952</v>
      </c>
      <c r="H743" s="76" t="s">
        <v>429</v>
      </c>
      <c r="I743" s="76" t="s">
        <v>430</v>
      </c>
      <c r="J743" s="76" t="s">
        <v>384</v>
      </c>
      <c r="K743" s="76" t="s">
        <v>1045</v>
      </c>
      <c r="L743" s="76" t="s">
        <v>424</v>
      </c>
      <c r="M743" s="76" t="s">
        <v>1043</v>
      </c>
      <c r="N743" s="76">
        <v>500</v>
      </c>
      <c r="O743" s="76">
        <v>495</v>
      </c>
      <c r="P743" s="78">
        <v>0.01</v>
      </c>
    </row>
    <row r="744" spans="7:16" x14ac:dyDescent="0.3">
      <c r="G744" t="s">
        <v>1953</v>
      </c>
      <c r="H744" s="76" t="s">
        <v>459</v>
      </c>
      <c r="I744" s="76" t="s">
        <v>422</v>
      </c>
      <c r="J744" s="76" t="s">
        <v>384</v>
      </c>
      <c r="K744" s="76" t="s">
        <v>1932</v>
      </c>
      <c r="L744" s="76" t="s">
        <v>373</v>
      </c>
      <c r="M744" s="76" t="s">
        <v>572</v>
      </c>
      <c r="N744" s="76">
        <v>700</v>
      </c>
      <c r="O744" s="76">
        <v>644</v>
      </c>
      <c r="P744" s="78">
        <v>0.08</v>
      </c>
    </row>
    <row r="745" spans="7:16" x14ac:dyDescent="0.3">
      <c r="G745" t="s">
        <v>1954</v>
      </c>
      <c r="H745" s="76" t="s">
        <v>434</v>
      </c>
      <c r="I745" s="76" t="s">
        <v>435</v>
      </c>
      <c r="J745" s="76" t="s">
        <v>360</v>
      </c>
      <c r="K745" s="77">
        <v>43378</v>
      </c>
      <c r="L745" s="76" t="s">
        <v>373</v>
      </c>
      <c r="M745" s="76" t="s">
        <v>1955</v>
      </c>
      <c r="N745" s="76">
        <v>700</v>
      </c>
      <c r="O745" s="76">
        <v>651</v>
      </c>
      <c r="P745" s="78">
        <v>7.0000000000000007E-2</v>
      </c>
    </row>
    <row r="746" spans="7:16" x14ac:dyDescent="0.3">
      <c r="G746" t="s">
        <v>1956</v>
      </c>
      <c r="H746" s="76" t="s">
        <v>429</v>
      </c>
      <c r="I746" s="76" t="s">
        <v>430</v>
      </c>
      <c r="J746" s="76" t="s">
        <v>384</v>
      </c>
      <c r="K746" s="76" t="s">
        <v>1957</v>
      </c>
      <c r="L746" s="76" t="s">
        <v>405</v>
      </c>
      <c r="M746" s="76" t="s">
        <v>432</v>
      </c>
      <c r="N746" s="76">
        <v>800</v>
      </c>
      <c r="O746" s="76">
        <v>752</v>
      </c>
      <c r="P746" s="78">
        <v>0.06</v>
      </c>
    </row>
    <row r="747" spans="7:16" x14ac:dyDescent="0.3">
      <c r="G747" t="s">
        <v>1958</v>
      </c>
      <c r="H747" s="76" t="s">
        <v>514</v>
      </c>
      <c r="I747" s="76" t="s">
        <v>515</v>
      </c>
      <c r="J747" s="76" t="s">
        <v>360</v>
      </c>
      <c r="K747" s="76" t="s">
        <v>1959</v>
      </c>
      <c r="L747" s="76" t="s">
        <v>475</v>
      </c>
      <c r="M747" s="76" t="s">
        <v>1960</v>
      </c>
      <c r="N747" s="76">
        <v>250</v>
      </c>
      <c r="O747" s="76">
        <v>233</v>
      </c>
      <c r="P747" s="78">
        <v>6.8000000000000005E-2</v>
      </c>
    </row>
    <row r="748" spans="7:16" x14ac:dyDescent="0.3">
      <c r="G748" t="s">
        <v>1961</v>
      </c>
      <c r="H748" s="76" t="s">
        <v>409</v>
      </c>
      <c r="I748" s="76" t="s">
        <v>410</v>
      </c>
      <c r="J748" s="76" t="s">
        <v>360</v>
      </c>
      <c r="K748" s="76" t="s">
        <v>682</v>
      </c>
      <c r="L748" s="76" t="s">
        <v>405</v>
      </c>
      <c r="M748" s="76" t="s">
        <v>733</v>
      </c>
      <c r="N748" s="76">
        <v>800</v>
      </c>
      <c r="O748" s="76">
        <v>480</v>
      </c>
      <c r="P748" s="78">
        <v>0.4</v>
      </c>
    </row>
    <row r="749" spans="7:16" x14ac:dyDescent="0.3">
      <c r="G749" t="s">
        <v>1962</v>
      </c>
      <c r="H749" s="76" t="s">
        <v>409</v>
      </c>
      <c r="I749" s="76" t="s">
        <v>410</v>
      </c>
      <c r="J749" s="76" t="s">
        <v>360</v>
      </c>
      <c r="K749" s="77">
        <v>43049</v>
      </c>
      <c r="L749" s="76" t="s">
        <v>411</v>
      </c>
      <c r="M749" s="76" t="s">
        <v>1668</v>
      </c>
      <c r="N749" s="76">
        <v>1000</v>
      </c>
      <c r="O749" s="76">
        <v>810</v>
      </c>
      <c r="P749" s="78">
        <v>0.19</v>
      </c>
    </row>
    <row r="750" spans="7:16" x14ac:dyDescent="0.3">
      <c r="G750" t="s">
        <v>1963</v>
      </c>
      <c r="H750" s="76" t="s">
        <v>615</v>
      </c>
      <c r="I750" s="76" t="s">
        <v>400</v>
      </c>
      <c r="J750" s="76" t="s">
        <v>372</v>
      </c>
      <c r="K750" s="76" t="s">
        <v>1964</v>
      </c>
      <c r="L750" s="76" t="s">
        <v>405</v>
      </c>
      <c r="M750" s="76" t="s">
        <v>1965</v>
      </c>
      <c r="N750" s="76">
        <v>800</v>
      </c>
      <c r="O750" s="76">
        <v>552</v>
      </c>
      <c r="P750" s="78">
        <v>0.31</v>
      </c>
    </row>
    <row r="751" spans="7:16" x14ac:dyDescent="0.3">
      <c r="G751" t="s">
        <v>1966</v>
      </c>
      <c r="H751" s="76" t="s">
        <v>615</v>
      </c>
      <c r="I751" s="76" t="s">
        <v>400</v>
      </c>
      <c r="J751" s="76" t="s">
        <v>372</v>
      </c>
      <c r="K751" s="76" t="s">
        <v>1967</v>
      </c>
      <c r="L751" s="76" t="s">
        <v>483</v>
      </c>
      <c r="M751" s="76" t="s">
        <v>1347</v>
      </c>
      <c r="N751" s="76">
        <v>50</v>
      </c>
      <c r="O751" s="76">
        <v>48</v>
      </c>
      <c r="P751" s="78">
        <v>0.04</v>
      </c>
    </row>
    <row r="752" spans="7:16" x14ac:dyDescent="0.3">
      <c r="G752" t="s">
        <v>1968</v>
      </c>
      <c r="H752" s="76" t="s">
        <v>611</v>
      </c>
      <c r="I752" s="76" t="s">
        <v>389</v>
      </c>
      <c r="J752" s="76" t="s">
        <v>384</v>
      </c>
      <c r="K752" s="76" t="s">
        <v>1969</v>
      </c>
      <c r="L752" s="76" t="s">
        <v>461</v>
      </c>
      <c r="M752" s="76" t="s">
        <v>1883</v>
      </c>
      <c r="N752" s="76">
        <v>70</v>
      </c>
      <c r="O752" s="76">
        <v>70</v>
      </c>
      <c r="P752" s="78">
        <v>0</v>
      </c>
    </row>
    <row r="753" spans="7:16" x14ac:dyDescent="0.3">
      <c r="G753" t="s">
        <v>1970</v>
      </c>
      <c r="H753" s="76" t="s">
        <v>382</v>
      </c>
      <c r="I753" s="76" t="s">
        <v>383</v>
      </c>
      <c r="J753" s="76" t="s">
        <v>384</v>
      </c>
      <c r="K753" s="76" t="s">
        <v>665</v>
      </c>
      <c r="L753" s="76" t="s">
        <v>411</v>
      </c>
      <c r="M753" s="76" t="s">
        <v>1971</v>
      </c>
      <c r="N753" s="76">
        <v>1000</v>
      </c>
      <c r="O753" s="76">
        <v>930</v>
      </c>
      <c r="P753" s="78">
        <v>7.0000000000000007E-2</v>
      </c>
    </row>
    <row r="754" spans="7:16" x14ac:dyDescent="0.3">
      <c r="G754" t="s">
        <v>1972</v>
      </c>
      <c r="H754" s="76" t="s">
        <v>489</v>
      </c>
      <c r="I754" s="76" t="s">
        <v>490</v>
      </c>
      <c r="J754" s="76" t="s">
        <v>360</v>
      </c>
      <c r="K754" s="76" t="s">
        <v>1973</v>
      </c>
      <c r="L754" s="76" t="s">
        <v>475</v>
      </c>
      <c r="M754" s="76" t="s">
        <v>1539</v>
      </c>
      <c r="N754" s="76">
        <v>250</v>
      </c>
      <c r="O754" s="76">
        <v>250</v>
      </c>
      <c r="P754" s="78">
        <v>0</v>
      </c>
    </row>
    <row r="755" spans="7:16" x14ac:dyDescent="0.3">
      <c r="G755" t="s">
        <v>1974</v>
      </c>
      <c r="H755" s="76" t="s">
        <v>388</v>
      </c>
      <c r="I755" s="76" t="s">
        <v>389</v>
      </c>
      <c r="J755" s="76" t="s">
        <v>384</v>
      </c>
      <c r="K755" s="76" t="s">
        <v>1975</v>
      </c>
      <c r="L755" s="76" t="s">
        <v>373</v>
      </c>
      <c r="M755" s="76" t="s">
        <v>603</v>
      </c>
      <c r="N755" s="76">
        <v>700</v>
      </c>
      <c r="O755" s="76">
        <v>469</v>
      </c>
      <c r="P755" s="78">
        <v>0.33</v>
      </c>
    </row>
    <row r="756" spans="7:16" x14ac:dyDescent="0.3">
      <c r="G756" t="s">
        <v>1976</v>
      </c>
      <c r="H756" s="76" t="s">
        <v>747</v>
      </c>
      <c r="I756" s="76" t="s">
        <v>748</v>
      </c>
      <c r="J756" s="76" t="s">
        <v>360</v>
      </c>
      <c r="K756" s="77">
        <v>42654</v>
      </c>
      <c r="L756" s="76" t="s">
        <v>461</v>
      </c>
      <c r="M756" s="76" t="s">
        <v>1977</v>
      </c>
      <c r="N756" s="76">
        <v>70</v>
      </c>
      <c r="O756" s="76">
        <v>69</v>
      </c>
      <c r="P756" s="78">
        <v>1.43E-2</v>
      </c>
    </row>
    <row r="757" spans="7:16" x14ac:dyDescent="0.3">
      <c r="G757" t="s">
        <v>1978</v>
      </c>
      <c r="H757" s="76" t="s">
        <v>438</v>
      </c>
      <c r="I757" s="76" t="s">
        <v>439</v>
      </c>
      <c r="J757" s="76" t="s">
        <v>360</v>
      </c>
      <c r="K757" s="76" t="s">
        <v>1979</v>
      </c>
      <c r="L757" s="76" t="s">
        <v>373</v>
      </c>
      <c r="M757" s="76" t="s">
        <v>1980</v>
      </c>
      <c r="N757" s="76">
        <v>700</v>
      </c>
      <c r="O757" s="76">
        <v>630</v>
      </c>
      <c r="P757" s="78">
        <v>0.1</v>
      </c>
    </row>
    <row r="758" spans="7:16" x14ac:dyDescent="0.3">
      <c r="G758" t="s">
        <v>1981</v>
      </c>
      <c r="H758" s="76" t="s">
        <v>421</v>
      </c>
      <c r="I758" s="76" t="s">
        <v>422</v>
      </c>
      <c r="J758" s="76" t="s">
        <v>384</v>
      </c>
      <c r="K758" s="76" t="s">
        <v>1982</v>
      </c>
      <c r="L758" s="76" t="s">
        <v>361</v>
      </c>
      <c r="M758" s="76" t="s">
        <v>425</v>
      </c>
      <c r="N758" s="76">
        <v>80</v>
      </c>
      <c r="O758" s="76">
        <v>78</v>
      </c>
      <c r="P758" s="78">
        <v>2.5000000000000001E-2</v>
      </c>
    </row>
    <row r="759" spans="7:16" x14ac:dyDescent="0.3">
      <c r="G759" t="s">
        <v>1983</v>
      </c>
      <c r="H759" s="76" t="s">
        <v>615</v>
      </c>
      <c r="I759" s="76" t="s">
        <v>400</v>
      </c>
      <c r="J759" s="76" t="s">
        <v>372</v>
      </c>
      <c r="K759" s="77">
        <v>42862</v>
      </c>
      <c r="L759" s="76" t="s">
        <v>385</v>
      </c>
      <c r="M759" s="76" t="s">
        <v>1965</v>
      </c>
      <c r="N759" s="76">
        <v>50</v>
      </c>
      <c r="O759" s="76">
        <v>49</v>
      </c>
      <c r="P759" s="78">
        <v>0.02</v>
      </c>
    </row>
    <row r="760" spans="7:16" x14ac:dyDescent="0.3">
      <c r="G760" t="s">
        <v>1984</v>
      </c>
      <c r="H760" s="76" t="s">
        <v>591</v>
      </c>
      <c r="I760" s="76" t="s">
        <v>592</v>
      </c>
      <c r="J760" s="76" t="s">
        <v>372</v>
      </c>
      <c r="K760" s="76" t="s">
        <v>1985</v>
      </c>
      <c r="L760" s="76" t="s">
        <v>411</v>
      </c>
      <c r="M760" s="76" t="s">
        <v>593</v>
      </c>
      <c r="N760" s="76">
        <v>1000</v>
      </c>
      <c r="O760" s="76">
        <v>750</v>
      </c>
      <c r="P760" s="78">
        <v>0.25</v>
      </c>
    </row>
    <row r="761" spans="7:16" x14ac:dyDescent="0.3">
      <c r="G761" t="s">
        <v>1986</v>
      </c>
      <c r="H761" s="76" t="s">
        <v>469</v>
      </c>
      <c r="I761" s="76" t="s">
        <v>435</v>
      </c>
      <c r="J761" s="76" t="s">
        <v>360</v>
      </c>
      <c r="K761" s="77">
        <v>41647</v>
      </c>
      <c r="L761" s="76" t="s">
        <v>385</v>
      </c>
      <c r="M761" s="76" t="s">
        <v>471</v>
      </c>
      <c r="N761" s="76">
        <v>50</v>
      </c>
      <c r="O761" s="76">
        <v>37</v>
      </c>
      <c r="P761" s="78">
        <v>0.26</v>
      </c>
    </row>
    <row r="762" spans="7:16" x14ac:dyDescent="0.3">
      <c r="G762" t="s">
        <v>1987</v>
      </c>
      <c r="H762" s="76" t="s">
        <v>547</v>
      </c>
      <c r="I762" s="76" t="s">
        <v>548</v>
      </c>
      <c r="J762" s="76" t="s">
        <v>360</v>
      </c>
      <c r="K762" s="77">
        <v>43412</v>
      </c>
      <c r="L762" s="76" t="s">
        <v>391</v>
      </c>
      <c r="M762" s="76" t="s">
        <v>898</v>
      </c>
      <c r="N762" s="76">
        <v>30</v>
      </c>
      <c r="O762" s="76">
        <v>28</v>
      </c>
      <c r="P762" s="78">
        <v>6.6699999999999995E-2</v>
      </c>
    </row>
    <row r="763" spans="7:16" x14ac:dyDescent="0.3">
      <c r="G763" t="s">
        <v>1988</v>
      </c>
      <c r="H763" s="76" t="s">
        <v>611</v>
      </c>
      <c r="I763" s="76" t="s">
        <v>389</v>
      </c>
      <c r="J763" s="76" t="s">
        <v>384</v>
      </c>
      <c r="K763" s="76" t="s">
        <v>1989</v>
      </c>
      <c r="L763" s="76" t="s">
        <v>424</v>
      </c>
      <c r="M763" s="76" t="s">
        <v>643</v>
      </c>
      <c r="N763" s="76">
        <v>500</v>
      </c>
      <c r="O763" s="76">
        <v>500</v>
      </c>
      <c r="P763" s="78">
        <v>0</v>
      </c>
    </row>
    <row r="764" spans="7:16" x14ac:dyDescent="0.3">
      <c r="G764" t="s">
        <v>1990</v>
      </c>
      <c r="H764" s="76" t="s">
        <v>414</v>
      </c>
      <c r="I764" s="76" t="s">
        <v>415</v>
      </c>
      <c r="J764" s="76" t="s">
        <v>384</v>
      </c>
      <c r="K764" s="76" t="s">
        <v>1991</v>
      </c>
      <c r="L764" s="76" t="s">
        <v>391</v>
      </c>
      <c r="M764" s="76" t="s">
        <v>1479</v>
      </c>
      <c r="N764" s="76">
        <v>30</v>
      </c>
      <c r="O764" s="76">
        <v>29</v>
      </c>
      <c r="P764" s="78">
        <v>3.3300000000000003E-2</v>
      </c>
    </row>
    <row r="765" spans="7:16" x14ac:dyDescent="0.3">
      <c r="G765" t="s">
        <v>1992</v>
      </c>
      <c r="H765" s="76" t="s">
        <v>560</v>
      </c>
      <c r="I765" s="76" t="s">
        <v>465</v>
      </c>
      <c r="J765" s="76" t="s">
        <v>366</v>
      </c>
      <c r="K765" s="76" t="s">
        <v>1993</v>
      </c>
      <c r="L765" s="76" t="s">
        <v>379</v>
      </c>
      <c r="M765" s="76" t="s">
        <v>1994</v>
      </c>
      <c r="N765" s="76">
        <v>150</v>
      </c>
      <c r="O765" s="76">
        <v>110</v>
      </c>
      <c r="P765" s="78">
        <v>0.26669999999999999</v>
      </c>
    </row>
    <row r="766" spans="7:16" x14ac:dyDescent="0.3">
      <c r="G766" t="s">
        <v>1995</v>
      </c>
      <c r="H766" s="76" t="s">
        <v>409</v>
      </c>
      <c r="I766" s="76" t="s">
        <v>410</v>
      </c>
      <c r="J766" s="76" t="s">
        <v>360</v>
      </c>
      <c r="K766" s="76" t="s">
        <v>1996</v>
      </c>
      <c r="L766" s="76" t="s">
        <v>461</v>
      </c>
      <c r="M766" s="76" t="s">
        <v>1134</v>
      </c>
      <c r="N766" s="76">
        <v>70</v>
      </c>
      <c r="O766" s="76">
        <v>50</v>
      </c>
      <c r="P766" s="78">
        <v>0.28570000000000001</v>
      </c>
    </row>
    <row r="767" spans="7:16" x14ac:dyDescent="0.3">
      <c r="G767" t="s">
        <v>1997</v>
      </c>
      <c r="H767" s="76" t="s">
        <v>489</v>
      </c>
      <c r="I767" s="76" t="s">
        <v>490</v>
      </c>
      <c r="J767" s="76" t="s">
        <v>360</v>
      </c>
      <c r="K767" s="77">
        <v>43253</v>
      </c>
      <c r="L767" s="76" t="s">
        <v>405</v>
      </c>
      <c r="M767" s="76" t="s">
        <v>1998</v>
      </c>
      <c r="N767" s="76">
        <v>800</v>
      </c>
      <c r="O767" s="76">
        <v>760</v>
      </c>
      <c r="P767" s="78">
        <v>0.05</v>
      </c>
    </row>
    <row r="768" spans="7:16" x14ac:dyDescent="0.3">
      <c r="G768" t="s">
        <v>1999</v>
      </c>
      <c r="H768" s="76" t="s">
        <v>551</v>
      </c>
      <c r="I768" s="76" t="s">
        <v>552</v>
      </c>
      <c r="J768" s="76" t="s">
        <v>360</v>
      </c>
      <c r="K768" s="77">
        <v>43230</v>
      </c>
      <c r="L768" s="76" t="s">
        <v>461</v>
      </c>
      <c r="M768" s="76" t="s">
        <v>742</v>
      </c>
      <c r="N768" s="76">
        <v>70</v>
      </c>
      <c r="O768" s="76">
        <v>68</v>
      </c>
      <c r="P768" s="78">
        <v>2.86E-2</v>
      </c>
    </row>
    <row r="769" spans="7:16" x14ac:dyDescent="0.3">
      <c r="G769" t="s">
        <v>2000</v>
      </c>
      <c r="H769" s="76" t="s">
        <v>399</v>
      </c>
      <c r="I769" s="76" t="s">
        <v>400</v>
      </c>
      <c r="J769" s="76" t="s">
        <v>372</v>
      </c>
      <c r="K769" s="76" t="s">
        <v>2001</v>
      </c>
      <c r="L769" s="76" t="s">
        <v>411</v>
      </c>
      <c r="M769" s="76" t="s">
        <v>1536</v>
      </c>
      <c r="N769" s="76">
        <v>1000</v>
      </c>
      <c r="O769" s="76">
        <v>960</v>
      </c>
      <c r="P769" s="78">
        <v>0.04</v>
      </c>
    </row>
    <row r="770" spans="7:16" x14ac:dyDescent="0.3">
      <c r="G770" t="s">
        <v>2002</v>
      </c>
      <c r="H770" s="76" t="s">
        <v>473</v>
      </c>
      <c r="I770" s="76" t="s">
        <v>404</v>
      </c>
      <c r="J770" s="76" t="s">
        <v>360</v>
      </c>
      <c r="K770" s="76" t="s">
        <v>2003</v>
      </c>
      <c r="L770" s="76" t="s">
        <v>361</v>
      </c>
      <c r="M770" s="76" t="s">
        <v>1942</v>
      </c>
      <c r="N770" s="76">
        <v>80</v>
      </c>
      <c r="O770" s="76">
        <v>80</v>
      </c>
      <c r="P770" s="78">
        <v>0</v>
      </c>
    </row>
    <row r="771" spans="7:16" x14ac:dyDescent="0.3">
      <c r="G771" t="s">
        <v>2004</v>
      </c>
      <c r="H771" s="76" t="s">
        <v>656</v>
      </c>
      <c r="I771" s="76" t="s">
        <v>657</v>
      </c>
      <c r="J771" s="76" t="s">
        <v>360</v>
      </c>
      <c r="K771" s="77">
        <v>43109</v>
      </c>
      <c r="L771" s="76" t="s">
        <v>405</v>
      </c>
      <c r="M771" s="76" t="s">
        <v>2005</v>
      </c>
      <c r="N771" s="76">
        <v>800</v>
      </c>
      <c r="O771" s="76">
        <v>776</v>
      </c>
      <c r="P771" s="78">
        <v>0.03</v>
      </c>
    </row>
    <row r="772" spans="7:16" x14ac:dyDescent="0.3">
      <c r="G772" t="s">
        <v>2006</v>
      </c>
      <c r="H772" s="76" t="s">
        <v>497</v>
      </c>
      <c r="I772" s="76" t="s">
        <v>445</v>
      </c>
      <c r="J772" s="76" t="s">
        <v>384</v>
      </c>
      <c r="K772" s="76" t="s">
        <v>2007</v>
      </c>
      <c r="L772" s="76" t="s">
        <v>405</v>
      </c>
      <c r="M772" s="76" t="s">
        <v>1450</v>
      </c>
      <c r="N772" s="76">
        <v>800</v>
      </c>
      <c r="O772" s="76">
        <v>560</v>
      </c>
      <c r="P772" s="78">
        <v>0.3</v>
      </c>
    </row>
    <row r="773" spans="7:16" x14ac:dyDescent="0.3">
      <c r="G773" t="s">
        <v>2008</v>
      </c>
      <c r="H773" s="76" t="s">
        <v>473</v>
      </c>
      <c r="I773" s="76" t="s">
        <v>404</v>
      </c>
      <c r="J773" s="76" t="s">
        <v>360</v>
      </c>
      <c r="K773" s="76" t="s">
        <v>2009</v>
      </c>
      <c r="L773" s="76" t="s">
        <v>483</v>
      </c>
      <c r="M773" s="76" t="s">
        <v>545</v>
      </c>
      <c r="N773" s="76">
        <v>50</v>
      </c>
      <c r="O773" s="76">
        <v>46</v>
      </c>
      <c r="P773" s="78">
        <v>0.08</v>
      </c>
    </row>
    <row r="774" spans="7:16" x14ac:dyDescent="0.3">
      <c r="G774" t="s">
        <v>2010</v>
      </c>
      <c r="H774" s="76" t="s">
        <v>524</v>
      </c>
      <c r="I774" s="76" t="s">
        <v>465</v>
      </c>
      <c r="J774" s="76" t="s">
        <v>366</v>
      </c>
      <c r="K774" s="76" t="s">
        <v>1736</v>
      </c>
      <c r="L774" s="76" t="s">
        <v>461</v>
      </c>
      <c r="M774" s="76" t="s">
        <v>1296</v>
      </c>
      <c r="N774" s="76">
        <v>70</v>
      </c>
      <c r="O774" s="76">
        <v>57</v>
      </c>
      <c r="P774" s="78">
        <v>0.1857</v>
      </c>
    </row>
    <row r="775" spans="7:16" x14ac:dyDescent="0.3">
      <c r="G775" t="s">
        <v>2011</v>
      </c>
      <c r="H775" s="76" t="s">
        <v>469</v>
      </c>
      <c r="I775" s="76" t="s">
        <v>435</v>
      </c>
      <c r="J775" s="76" t="s">
        <v>360</v>
      </c>
      <c r="K775" s="77">
        <v>42709</v>
      </c>
      <c r="L775" s="76" t="s">
        <v>361</v>
      </c>
      <c r="M775" s="76" t="s">
        <v>922</v>
      </c>
      <c r="N775" s="76">
        <v>80</v>
      </c>
      <c r="O775" s="76">
        <v>78</v>
      </c>
      <c r="P775" s="78">
        <v>2.5000000000000001E-2</v>
      </c>
    </row>
    <row r="776" spans="7:16" x14ac:dyDescent="0.3">
      <c r="G776" t="s">
        <v>2012</v>
      </c>
      <c r="H776" s="76" t="s">
        <v>449</v>
      </c>
      <c r="I776" s="76" t="s">
        <v>450</v>
      </c>
      <c r="J776" s="76" t="s">
        <v>360</v>
      </c>
      <c r="K776" s="76" t="s">
        <v>2013</v>
      </c>
      <c r="L776" s="76" t="s">
        <v>361</v>
      </c>
      <c r="M776" s="76" t="s">
        <v>558</v>
      </c>
      <c r="N776" s="76">
        <v>80</v>
      </c>
      <c r="O776" s="76">
        <v>78</v>
      </c>
      <c r="P776" s="78">
        <v>2.5000000000000001E-2</v>
      </c>
    </row>
    <row r="777" spans="7:16" x14ac:dyDescent="0.3">
      <c r="G777" t="s">
        <v>2014</v>
      </c>
      <c r="H777" s="76" t="s">
        <v>566</v>
      </c>
      <c r="I777" s="76" t="s">
        <v>567</v>
      </c>
      <c r="J777" s="76" t="s">
        <v>360</v>
      </c>
      <c r="K777" s="76" t="s">
        <v>2015</v>
      </c>
      <c r="L777" s="76" t="s">
        <v>475</v>
      </c>
      <c r="M777" s="76" t="s">
        <v>867</v>
      </c>
      <c r="N777" s="76">
        <v>250</v>
      </c>
      <c r="O777" s="76">
        <v>250</v>
      </c>
      <c r="P777" s="78">
        <v>0</v>
      </c>
    </row>
    <row r="778" spans="7:16" x14ac:dyDescent="0.3">
      <c r="G778" t="s">
        <v>2016</v>
      </c>
      <c r="H778" s="76" t="s">
        <v>494</v>
      </c>
      <c r="I778" s="76" t="s">
        <v>465</v>
      </c>
      <c r="J778" s="76" t="s">
        <v>366</v>
      </c>
      <c r="K778" s="76" t="s">
        <v>2017</v>
      </c>
      <c r="L778" s="76" t="s">
        <v>391</v>
      </c>
      <c r="M778" s="76" t="s">
        <v>947</v>
      </c>
      <c r="N778" s="76">
        <v>30</v>
      </c>
      <c r="O778" s="76">
        <v>29</v>
      </c>
      <c r="P778" s="78">
        <v>3.3300000000000003E-2</v>
      </c>
    </row>
    <row r="779" spans="7:16" x14ac:dyDescent="0.3">
      <c r="G779" t="s">
        <v>2018</v>
      </c>
      <c r="H779" s="76" t="s">
        <v>449</v>
      </c>
      <c r="I779" s="76" t="s">
        <v>450</v>
      </c>
      <c r="J779" s="76" t="s">
        <v>360</v>
      </c>
      <c r="K779" s="77">
        <v>42316</v>
      </c>
      <c r="L779" s="76" t="s">
        <v>483</v>
      </c>
      <c r="M779" s="76" t="s">
        <v>2019</v>
      </c>
      <c r="N779" s="76">
        <v>50</v>
      </c>
      <c r="O779" s="76">
        <v>33</v>
      </c>
      <c r="P779" s="78">
        <v>0.34</v>
      </c>
    </row>
    <row r="780" spans="7:16" x14ac:dyDescent="0.3">
      <c r="G780" t="s">
        <v>2020</v>
      </c>
      <c r="H780" s="76" t="s">
        <v>551</v>
      </c>
      <c r="I780" s="76" t="s">
        <v>552</v>
      </c>
      <c r="J780" s="76" t="s">
        <v>360</v>
      </c>
      <c r="K780" s="77">
        <v>42737</v>
      </c>
      <c r="L780" s="76" t="s">
        <v>411</v>
      </c>
      <c r="M780" s="76" t="s">
        <v>2021</v>
      </c>
      <c r="N780" s="76">
        <v>1000</v>
      </c>
      <c r="O780" s="76">
        <v>880</v>
      </c>
      <c r="P780" s="78">
        <v>0.12</v>
      </c>
    </row>
    <row r="781" spans="7:16" x14ac:dyDescent="0.3">
      <c r="G781" t="s">
        <v>2022</v>
      </c>
      <c r="H781" s="76" t="s">
        <v>444</v>
      </c>
      <c r="I781" s="76" t="s">
        <v>445</v>
      </c>
      <c r="J781" s="76" t="s">
        <v>384</v>
      </c>
      <c r="K781" s="76" t="s">
        <v>505</v>
      </c>
      <c r="L781" s="76" t="s">
        <v>396</v>
      </c>
      <c r="M781" s="76" t="s">
        <v>1564</v>
      </c>
      <c r="N781" s="76">
        <v>500</v>
      </c>
      <c r="O781" s="76">
        <v>305</v>
      </c>
      <c r="P781" s="78">
        <v>0.39</v>
      </c>
    </row>
    <row r="782" spans="7:16" x14ac:dyDescent="0.3">
      <c r="G782" t="s">
        <v>2023</v>
      </c>
      <c r="H782" s="76" t="s">
        <v>566</v>
      </c>
      <c r="I782" s="76" t="s">
        <v>567</v>
      </c>
      <c r="J782" s="76" t="s">
        <v>360</v>
      </c>
      <c r="K782" s="76" t="s">
        <v>1238</v>
      </c>
      <c r="L782" s="76" t="s">
        <v>373</v>
      </c>
      <c r="M782" s="76" t="s">
        <v>1370</v>
      </c>
      <c r="N782" s="76">
        <v>700</v>
      </c>
      <c r="O782" s="76">
        <v>665</v>
      </c>
      <c r="P782" s="78">
        <v>0.05</v>
      </c>
    </row>
    <row r="783" spans="7:16" x14ac:dyDescent="0.3">
      <c r="G783" t="s">
        <v>2024</v>
      </c>
      <c r="H783" s="76" t="s">
        <v>845</v>
      </c>
      <c r="I783" s="76" t="s">
        <v>846</v>
      </c>
      <c r="J783" s="76" t="s">
        <v>360</v>
      </c>
      <c r="K783" s="77">
        <v>43345</v>
      </c>
      <c r="L783" s="76" t="s">
        <v>396</v>
      </c>
      <c r="M783" s="76" t="s">
        <v>2025</v>
      </c>
      <c r="N783" s="76">
        <v>500</v>
      </c>
      <c r="O783" s="76">
        <v>100</v>
      </c>
      <c r="P783" s="78">
        <v>0.8</v>
      </c>
    </row>
    <row r="784" spans="7:16" x14ac:dyDescent="0.3">
      <c r="G784" t="s">
        <v>2026</v>
      </c>
      <c r="H784" s="76" t="s">
        <v>454</v>
      </c>
      <c r="I784" s="76" t="s">
        <v>455</v>
      </c>
      <c r="J784" s="76" t="s">
        <v>360</v>
      </c>
      <c r="K784" s="76" t="s">
        <v>2027</v>
      </c>
      <c r="L784" s="76" t="s">
        <v>424</v>
      </c>
      <c r="M784" s="76" t="s">
        <v>1318</v>
      </c>
      <c r="N784" s="76">
        <v>500</v>
      </c>
      <c r="O784" s="76">
        <v>500</v>
      </c>
      <c r="P784" s="78">
        <v>0</v>
      </c>
    </row>
    <row r="785" spans="7:16" x14ac:dyDescent="0.3">
      <c r="G785" t="s">
        <v>2028</v>
      </c>
      <c r="H785" s="76" t="s">
        <v>388</v>
      </c>
      <c r="I785" s="76" t="s">
        <v>389</v>
      </c>
      <c r="J785" s="76" t="s">
        <v>384</v>
      </c>
      <c r="K785" s="76" t="s">
        <v>2029</v>
      </c>
      <c r="L785" s="76" t="s">
        <v>361</v>
      </c>
      <c r="M785" s="76" t="s">
        <v>2030</v>
      </c>
      <c r="N785" s="76">
        <v>80</v>
      </c>
      <c r="O785" s="76">
        <v>65</v>
      </c>
      <c r="P785" s="78">
        <v>0.1875</v>
      </c>
    </row>
    <row r="786" spans="7:16" x14ac:dyDescent="0.3">
      <c r="G786" t="s">
        <v>2031</v>
      </c>
      <c r="H786" s="76" t="s">
        <v>528</v>
      </c>
      <c r="I786" s="76" t="s">
        <v>465</v>
      </c>
      <c r="J786" s="76" t="s">
        <v>366</v>
      </c>
      <c r="K786" s="76" t="s">
        <v>1685</v>
      </c>
      <c r="L786" s="76" t="s">
        <v>373</v>
      </c>
      <c r="M786" s="76" t="s">
        <v>2032</v>
      </c>
      <c r="N786" s="76">
        <v>700</v>
      </c>
      <c r="O786" s="76">
        <v>651</v>
      </c>
      <c r="P786" s="78">
        <v>7.0000000000000007E-2</v>
      </c>
    </row>
    <row r="787" spans="7:16" x14ac:dyDescent="0.3">
      <c r="G787" t="s">
        <v>2033</v>
      </c>
      <c r="H787" s="76" t="s">
        <v>485</v>
      </c>
      <c r="I787" s="76" t="s">
        <v>389</v>
      </c>
      <c r="J787" s="76" t="s">
        <v>384</v>
      </c>
      <c r="K787" s="77">
        <v>42952</v>
      </c>
      <c r="L787" s="76" t="s">
        <v>379</v>
      </c>
      <c r="M787" s="76" t="s">
        <v>1608</v>
      </c>
      <c r="N787" s="76">
        <v>150</v>
      </c>
      <c r="O787" s="76">
        <v>141</v>
      </c>
      <c r="P787" s="78">
        <v>0.06</v>
      </c>
    </row>
    <row r="788" spans="7:16" x14ac:dyDescent="0.3">
      <c r="G788" t="s">
        <v>2034</v>
      </c>
      <c r="H788" s="76" t="s">
        <v>485</v>
      </c>
      <c r="I788" s="76" t="s">
        <v>389</v>
      </c>
      <c r="J788" s="76" t="s">
        <v>384</v>
      </c>
      <c r="K788" s="76" t="s">
        <v>521</v>
      </c>
      <c r="L788" s="76" t="s">
        <v>475</v>
      </c>
      <c r="M788" s="76" t="s">
        <v>1467</v>
      </c>
      <c r="N788" s="76">
        <v>250</v>
      </c>
      <c r="O788" s="76">
        <v>240</v>
      </c>
      <c r="P788" s="78">
        <v>0.04</v>
      </c>
    </row>
    <row r="789" spans="7:16" x14ac:dyDescent="0.3">
      <c r="G789" t="s">
        <v>2035</v>
      </c>
      <c r="H789" s="76" t="s">
        <v>388</v>
      </c>
      <c r="I789" s="76" t="s">
        <v>389</v>
      </c>
      <c r="J789" s="76" t="s">
        <v>384</v>
      </c>
      <c r="K789" s="77">
        <v>42047</v>
      </c>
      <c r="L789" s="76" t="s">
        <v>461</v>
      </c>
      <c r="M789" s="76" t="s">
        <v>2036</v>
      </c>
      <c r="N789" s="76">
        <v>70</v>
      </c>
      <c r="O789" s="76">
        <v>57</v>
      </c>
      <c r="P789" s="78">
        <v>0.1857</v>
      </c>
    </row>
    <row r="790" spans="7:16" x14ac:dyDescent="0.3">
      <c r="G790" t="s">
        <v>2037</v>
      </c>
      <c r="H790" s="76" t="s">
        <v>524</v>
      </c>
      <c r="I790" s="76" t="s">
        <v>465</v>
      </c>
      <c r="J790" s="76" t="s">
        <v>366</v>
      </c>
      <c r="K790" s="76" t="s">
        <v>908</v>
      </c>
      <c r="L790" s="76" t="s">
        <v>424</v>
      </c>
      <c r="M790" s="76" t="s">
        <v>2038</v>
      </c>
      <c r="N790" s="76">
        <v>500</v>
      </c>
      <c r="O790" s="76">
        <v>495</v>
      </c>
      <c r="P790" s="78">
        <v>0.01</v>
      </c>
    </row>
    <row r="791" spans="7:16" x14ac:dyDescent="0.3">
      <c r="G791" t="s">
        <v>2039</v>
      </c>
      <c r="H791" s="76" t="s">
        <v>478</v>
      </c>
      <c r="I791" s="76" t="s">
        <v>479</v>
      </c>
      <c r="J791" s="76" t="s">
        <v>384</v>
      </c>
      <c r="K791" s="76" t="s">
        <v>2040</v>
      </c>
      <c r="L791" s="76" t="s">
        <v>391</v>
      </c>
      <c r="M791" s="76" t="s">
        <v>1448</v>
      </c>
      <c r="N791" s="76">
        <v>30</v>
      </c>
      <c r="O791" s="76">
        <v>29</v>
      </c>
      <c r="P791" s="78">
        <v>3.3300000000000003E-2</v>
      </c>
    </row>
    <row r="792" spans="7:16" x14ac:dyDescent="0.3">
      <c r="G792" t="s">
        <v>2041</v>
      </c>
      <c r="H792" s="76" t="s">
        <v>560</v>
      </c>
      <c r="I792" s="76" t="s">
        <v>465</v>
      </c>
      <c r="J792" s="76" t="s">
        <v>366</v>
      </c>
      <c r="K792" s="77">
        <v>42592</v>
      </c>
      <c r="L792" s="76" t="s">
        <v>373</v>
      </c>
      <c r="M792" s="76" t="s">
        <v>2042</v>
      </c>
      <c r="N792" s="76">
        <v>700</v>
      </c>
      <c r="O792" s="76">
        <v>595</v>
      </c>
      <c r="P792" s="78">
        <v>0.15</v>
      </c>
    </row>
    <row r="793" spans="7:16" x14ac:dyDescent="0.3">
      <c r="G793" t="s">
        <v>2043</v>
      </c>
      <c r="H793" s="76" t="s">
        <v>519</v>
      </c>
      <c r="I793" s="76" t="s">
        <v>520</v>
      </c>
      <c r="J793" s="76" t="s">
        <v>360</v>
      </c>
      <c r="K793" s="76" t="s">
        <v>1418</v>
      </c>
      <c r="L793" s="76" t="s">
        <v>475</v>
      </c>
      <c r="M793" s="76" t="s">
        <v>859</v>
      </c>
      <c r="N793" s="76">
        <v>250</v>
      </c>
      <c r="O793" s="76">
        <v>213</v>
      </c>
      <c r="P793" s="78">
        <v>0.14799999999999999</v>
      </c>
    </row>
    <row r="794" spans="7:16" x14ac:dyDescent="0.3">
      <c r="G794" t="s">
        <v>2044</v>
      </c>
      <c r="H794" s="76" t="s">
        <v>421</v>
      </c>
      <c r="I794" s="76" t="s">
        <v>422</v>
      </c>
      <c r="J794" s="76" t="s">
        <v>384</v>
      </c>
      <c r="K794" s="76" t="s">
        <v>2045</v>
      </c>
      <c r="L794" s="76" t="s">
        <v>379</v>
      </c>
      <c r="M794" s="76" t="s">
        <v>1596</v>
      </c>
      <c r="N794" s="76">
        <v>150</v>
      </c>
      <c r="O794" s="76">
        <v>129</v>
      </c>
      <c r="P794" s="78">
        <v>0.14000000000000001</v>
      </c>
    </row>
    <row r="795" spans="7:16" x14ac:dyDescent="0.3">
      <c r="G795" t="s">
        <v>2046</v>
      </c>
      <c r="H795" s="76" t="s">
        <v>478</v>
      </c>
      <c r="I795" s="76" t="s">
        <v>479</v>
      </c>
      <c r="J795" s="76" t="s">
        <v>384</v>
      </c>
      <c r="K795" s="76" t="s">
        <v>1397</v>
      </c>
      <c r="L795" s="76" t="s">
        <v>391</v>
      </c>
      <c r="M795" s="76" t="s">
        <v>1527</v>
      </c>
      <c r="N795" s="76">
        <v>30</v>
      </c>
      <c r="O795" s="76">
        <v>29</v>
      </c>
      <c r="P795" s="78">
        <v>3.3300000000000003E-2</v>
      </c>
    </row>
    <row r="796" spans="7:16" x14ac:dyDescent="0.3">
      <c r="G796" t="s">
        <v>2047</v>
      </c>
      <c r="H796" s="76" t="s">
        <v>358</v>
      </c>
      <c r="I796" s="76" t="s">
        <v>359</v>
      </c>
      <c r="J796" s="76" t="s">
        <v>360</v>
      </c>
      <c r="K796" s="77">
        <v>43413</v>
      </c>
      <c r="L796" s="76" t="s">
        <v>483</v>
      </c>
      <c r="M796" s="76" t="s">
        <v>780</v>
      </c>
      <c r="N796" s="76">
        <v>50</v>
      </c>
      <c r="O796" s="76">
        <v>49</v>
      </c>
      <c r="P796" s="78">
        <v>0.02</v>
      </c>
    </row>
    <row r="797" spans="7:16" x14ac:dyDescent="0.3">
      <c r="G797" t="s">
        <v>2048</v>
      </c>
      <c r="H797" s="76" t="s">
        <v>514</v>
      </c>
      <c r="I797" s="76" t="s">
        <v>515</v>
      </c>
      <c r="J797" s="76" t="s">
        <v>360</v>
      </c>
      <c r="K797" s="77">
        <v>41949</v>
      </c>
      <c r="L797" s="76" t="s">
        <v>396</v>
      </c>
      <c r="M797" s="76" t="s">
        <v>792</v>
      </c>
      <c r="N797" s="76">
        <v>500</v>
      </c>
      <c r="O797" s="76">
        <v>370</v>
      </c>
      <c r="P797" s="78">
        <v>0.26</v>
      </c>
    </row>
    <row r="798" spans="7:16" x14ac:dyDescent="0.3">
      <c r="G798" t="s">
        <v>2049</v>
      </c>
      <c r="H798" s="76" t="s">
        <v>364</v>
      </c>
      <c r="I798" s="76" t="s">
        <v>365</v>
      </c>
      <c r="J798" s="76" t="s">
        <v>366</v>
      </c>
      <c r="K798" s="76" t="s">
        <v>2050</v>
      </c>
      <c r="L798" s="76" t="s">
        <v>391</v>
      </c>
      <c r="M798" s="76" t="s">
        <v>973</v>
      </c>
      <c r="N798" s="76">
        <v>30</v>
      </c>
      <c r="O798" s="76">
        <v>26</v>
      </c>
      <c r="P798" s="78">
        <v>0.1333</v>
      </c>
    </row>
    <row r="799" spans="7:16" x14ac:dyDescent="0.3">
      <c r="G799" t="s">
        <v>2051</v>
      </c>
      <c r="H799" s="76" t="s">
        <v>489</v>
      </c>
      <c r="I799" s="76" t="s">
        <v>490</v>
      </c>
      <c r="J799" s="76" t="s">
        <v>360</v>
      </c>
      <c r="K799" s="77">
        <v>42895</v>
      </c>
      <c r="L799" s="76" t="s">
        <v>475</v>
      </c>
      <c r="M799" s="76" t="s">
        <v>824</v>
      </c>
      <c r="N799" s="76">
        <v>250</v>
      </c>
      <c r="O799" s="76">
        <v>243</v>
      </c>
      <c r="P799" s="78">
        <v>2.8000000000000001E-2</v>
      </c>
    </row>
    <row r="800" spans="7:16" x14ac:dyDescent="0.3">
      <c r="G800" t="s">
        <v>2052</v>
      </c>
      <c r="H800" s="76" t="s">
        <v>388</v>
      </c>
      <c r="I800" s="76" t="s">
        <v>389</v>
      </c>
      <c r="J800" s="76" t="s">
        <v>384</v>
      </c>
      <c r="K800" s="76" t="s">
        <v>1377</v>
      </c>
      <c r="L800" s="76" t="s">
        <v>411</v>
      </c>
      <c r="M800" s="76" t="s">
        <v>2053</v>
      </c>
      <c r="N800" s="76">
        <v>1000</v>
      </c>
      <c r="O800" s="76">
        <v>700</v>
      </c>
      <c r="P800" s="78">
        <v>0.3</v>
      </c>
    </row>
    <row r="801" spans="7:16" x14ac:dyDescent="0.3">
      <c r="G801" t="s">
        <v>2054</v>
      </c>
      <c r="H801" s="76" t="s">
        <v>560</v>
      </c>
      <c r="I801" s="76" t="s">
        <v>465</v>
      </c>
      <c r="J801" s="76" t="s">
        <v>366</v>
      </c>
      <c r="K801" s="76" t="s">
        <v>2055</v>
      </c>
      <c r="L801" s="76" t="s">
        <v>483</v>
      </c>
      <c r="M801" s="76" t="s">
        <v>1214</v>
      </c>
      <c r="N801" s="76">
        <v>50</v>
      </c>
      <c r="O801" s="76">
        <v>43</v>
      </c>
      <c r="P801" s="78">
        <v>0.14000000000000001</v>
      </c>
    </row>
    <row r="802" spans="7:16" x14ac:dyDescent="0.3">
      <c r="G802" t="s">
        <v>2056</v>
      </c>
      <c r="H802" s="76" t="s">
        <v>619</v>
      </c>
      <c r="I802" s="76" t="s">
        <v>620</v>
      </c>
      <c r="J802" s="76" t="s">
        <v>372</v>
      </c>
      <c r="K802" s="76" t="s">
        <v>2057</v>
      </c>
      <c r="L802" s="76" t="s">
        <v>405</v>
      </c>
      <c r="M802" s="76" t="s">
        <v>1562</v>
      </c>
      <c r="N802" s="76">
        <v>800</v>
      </c>
      <c r="O802" s="76">
        <v>440</v>
      </c>
      <c r="P802" s="78">
        <v>0.45</v>
      </c>
    </row>
    <row r="803" spans="7:16" x14ac:dyDescent="0.3">
      <c r="G803" t="s">
        <v>2058</v>
      </c>
      <c r="H803" s="76" t="s">
        <v>403</v>
      </c>
      <c r="I803" s="76" t="s">
        <v>404</v>
      </c>
      <c r="J803" s="76" t="s">
        <v>360</v>
      </c>
      <c r="K803" s="76" t="s">
        <v>2059</v>
      </c>
      <c r="L803" s="76" t="s">
        <v>361</v>
      </c>
      <c r="M803" s="76" t="s">
        <v>1375</v>
      </c>
      <c r="N803" s="76">
        <v>80</v>
      </c>
      <c r="O803" s="76">
        <v>80</v>
      </c>
      <c r="P803" s="78">
        <v>0</v>
      </c>
    </row>
    <row r="804" spans="7:16" x14ac:dyDescent="0.3">
      <c r="G804" t="s">
        <v>2060</v>
      </c>
      <c r="H804" s="76" t="s">
        <v>494</v>
      </c>
      <c r="I804" s="76" t="s">
        <v>465</v>
      </c>
      <c r="J804" s="76" t="s">
        <v>366</v>
      </c>
      <c r="K804" s="77">
        <v>42072</v>
      </c>
      <c r="L804" s="76" t="s">
        <v>461</v>
      </c>
      <c r="M804" s="76" t="s">
        <v>1373</v>
      </c>
      <c r="N804" s="76">
        <v>70</v>
      </c>
      <c r="O804" s="76">
        <v>63</v>
      </c>
      <c r="P804" s="78">
        <v>0.1</v>
      </c>
    </row>
    <row r="805" spans="7:16" x14ac:dyDescent="0.3">
      <c r="G805" t="s">
        <v>2061</v>
      </c>
      <c r="H805" s="76" t="s">
        <v>434</v>
      </c>
      <c r="I805" s="76" t="s">
        <v>435</v>
      </c>
      <c r="J805" s="76" t="s">
        <v>360</v>
      </c>
      <c r="K805" s="77">
        <v>41883</v>
      </c>
      <c r="L805" s="76" t="s">
        <v>373</v>
      </c>
      <c r="M805" s="76" t="s">
        <v>1712</v>
      </c>
      <c r="N805" s="76">
        <v>700</v>
      </c>
      <c r="O805" s="76">
        <v>672</v>
      </c>
      <c r="P805" s="78">
        <v>0.04</v>
      </c>
    </row>
    <row r="806" spans="7:16" x14ac:dyDescent="0.3">
      <c r="G806" t="s">
        <v>2062</v>
      </c>
      <c r="H806" s="76" t="s">
        <v>370</v>
      </c>
      <c r="I806" s="76" t="s">
        <v>371</v>
      </c>
      <c r="J806" s="76" t="s">
        <v>372</v>
      </c>
      <c r="K806" s="77">
        <v>43315</v>
      </c>
      <c r="L806" s="76" t="s">
        <v>424</v>
      </c>
      <c r="M806" s="76" t="s">
        <v>512</v>
      </c>
      <c r="N806" s="76">
        <v>500</v>
      </c>
      <c r="O806" s="76">
        <v>490</v>
      </c>
      <c r="P806" s="78">
        <v>0.02</v>
      </c>
    </row>
    <row r="807" spans="7:16" x14ac:dyDescent="0.3">
      <c r="G807" t="s">
        <v>2063</v>
      </c>
      <c r="H807" s="76" t="s">
        <v>489</v>
      </c>
      <c r="I807" s="76" t="s">
        <v>490</v>
      </c>
      <c r="J807" s="76" t="s">
        <v>360</v>
      </c>
      <c r="K807" s="76" t="s">
        <v>2064</v>
      </c>
      <c r="L807" s="76" t="s">
        <v>405</v>
      </c>
      <c r="M807" s="76" t="s">
        <v>1998</v>
      </c>
      <c r="N807" s="76">
        <v>800</v>
      </c>
      <c r="O807" s="76">
        <v>592</v>
      </c>
      <c r="P807" s="78">
        <v>0.26</v>
      </c>
    </row>
    <row r="808" spans="7:16" x14ac:dyDescent="0.3">
      <c r="G808" t="s">
        <v>2065</v>
      </c>
      <c r="H808" s="76" t="s">
        <v>489</v>
      </c>
      <c r="I808" s="76" t="s">
        <v>490</v>
      </c>
      <c r="J808" s="76" t="s">
        <v>360</v>
      </c>
      <c r="K808" s="76" t="s">
        <v>599</v>
      </c>
      <c r="L808" s="76" t="s">
        <v>385</v>
      </c>
      <c r="M808" s="76" t="s">
        <v>1539</v>
      </c>
      <c r="N808" s="76">
        <v>50</v>
      </c>
      <c r="O808" s="76">
        <v>46</v>
      </c>
      <c r="P808" s="78">
        <v>0.08</v>
      </c>
    </row>
    <row r="809" spans="7:16" x14ac:dyDescent="0.3">
      <c r="G809" t="s">
        <v>2066</v>
      </c>
      <c r="H809" s="76" t="s">
        <v>394</v>
      </c>
      <c r="I809" s="76" t="s">
        <v>395</v>
      </c>
      <c r="J809" s="76" t="s">
        <v>372</v>
      </c>
      <c r="K809" s="76" t="s">
        <v>2067</v>
      </c>
      <c r="L809" s="76" t="s">
        <v>483</v>
      </c>
      <c r="M809" s="76" t="s">
        <v>718</v>
      </c>
      <c r="N809" s="76">
        <v>50</v>
      </c>
      <c r="O809" s="76">
        <v>50</v>
      </c>
      <c r="P809" s="78">
        <v>0</v>
      </c>
    </row>
    <row r="810" spans="7:16" x14ac:dyDescent="0.3">
      <c r="G810" t="s">
        <v>2068</v>
      </c>
      <c r="H810" s="76" t="s">
        <v>528</v>
      </c>
      <c r="I810" s="76" t="s">
        <v>465</v>
      </c>
      <c r="J810" s="76" t="s">
        <v>366</v>
      </c>
      <c r="K810" s="77">
        <v>43104</v>
      </c>
      <c r="L810" s="76" t="s">
        <v>483</v>
      </c>
      <c r="M810" s="76" t="s">
        <v>2032</v>
      </c>
      <c r="N810" s="76">
        <v>50</v>
      </c>
      <c r="O810" s="76">
        <v>48</v>
      </c>
      <c r="P810" s="78">
        <v>0.04</v>
      </c>
    </row>
    <row r="811" spans="7:16" x14ac:dyDescent="0.3">
      <c r="G811" t="s">
        <v>2069</v>
      </c>
      <c r="H811" s="76" t="s">
        <v>382</v>
      </c>
      <c r="I811" s="76" t="s">
        <v>383</v>
      </c>
      <c r="J811" s="76" t="s">
        <v>384</v>
      </c>
      <c r="K811" s="77">
        <v>42895</v>
      </c>
      <c r="L811" s="76" t="s">
        <v>483</v>
      </c>
      <c r="M811" s="76" t="s">
        <v>1971</v>
      </c>
      <c r="N811" s="76">
        <v>50</v>
      </c>
      <c r="O811" s="76">
        <v>47</v>
      </c>
      <c r="P811" s="78">
        <v>0.06</v>
      </c>
    </row>
    <row r="812" spans="7:16" x14ac:dyDescent="0.3">
      <c r="G812" t="s">
        <v>2070</v>
      </c>
      <c r="H812" s="76" t="s">
        <v>394</v>
      </c>
      <c r="I812" s="76" t="s">
        <v>395</v>
      </c>
      <c r="J812" s="76" t="s">
        <v>372</v>
      </c>
      <c r="K812" s="77">
        <v>41646</v>
      </c>
      <c r="L812" s="76" t="s">
        <v>461</v>
      </c>
      <c r="M812" s="76" t="s">
        <v>1695</v>
      </c>
      <c r="N812" s="76">
        <v>70</v>
      </c>
      <c r="O812" s="76">
        <v>63</v>
      </c>
      <c r="P812" s="78">
        <v>0.1</v>
      </c>
    </row>
    <row r="813" spans="7:16" x14ac:dyDescent="0.3">
      <c r="G813" t="s">
        <v>2071</v>
      </c>
      <c r="H813" s="76" t="s">
        <v>514</v>
      </c>
      <c r="I813" s="76" t="s">
        <v>515</v>
      </c>
      <c r="J813" s="76" t="s">
        <v>360</v>
      </c>
      <c r="K813" s="76" t="s">
        <v>2072</v>
      </c>
      <c r="L813" s="76" t="s">
        <v>475</v>
      </c>
      <c r="M813" s="76" t="s">
        <v>2073</v>
      </c>
      <c r="N813" s="76">
        <v>250</v>
      </c>
      <c r="O813" s="76">
        <v>243</v>
      </c>
      <c r="P813" s="78">
        <v>2.8000000000000001E-2</v>
      </c>
    </row>
    <row r="814" spans="7:16" x14ac:dyDescent="0.3">
      <c r="G814" t="s">
        <v>2074</v>
      </c>
      <c r="H814" s="76" t="s">
        <v>560</v>
      </c>
      <c r="I814" s="76" t="s">
        <v>465</v>
      </c>
      <c r="J814" s="76" t="s">
        <v>366</v>
      </c>
      <c r="K814" s="76" t="s">
        <v>2075</v>
      </c>
      <c r="L814" s="76" t="s">
        <v>424</v>
      </c>
      <c r="M814" s="76" t="s">
        <v>987</v>
      </c>
      <c r="N814" s="76">
        <v>500</v>
      </c>
      <c r="O814" s="76">
        <v>500</v>
      </c>
      <c r="P814" s="78">
        <v>0</v>
      </c>
    </row>
    <row r="815" spans="7:16" x14ac:dyDescent="0.3">
      <c r="G815" t="s">
        <v>2076</v>
      </c>
      <c r="H815" s="76" t="s">
        <v>449</v>
      </c>
      <c r="I815" s="76" t="s">
        <v>450</v>
      </c>
      <c r="J815" s="76" t="s">
        <v>360</v>
      </c>
      <c r="K815" s="76" t="s">
        <v>2077</v>
      </c>
      <c r="L815" s="76" t="s">
        <v>424</v>
      </c>
      <c r="M815" s="76" t="s">
        <v>1340</v>
      </c>
      <c r="N815" s="76">
        <v>500</v>
      </c>
      <c r="O815" s="76">
        <v>495</v>
      </c>
      <c r="P815" s="78">
        <v>0.01</v>
      </c>
    </row>
    <row r="816" spans="7:16" x14ac:dyDescent="0.3">
      <c r="G816" t="s">
        <v>2078</v>
      </c>
      <c r="H816" s="76" t="s">
        <v>611</v>
      </c>
      <c r="I816" s="76" t="s">
        <v>389</v>
      </c>
      <c r="J816" s="76" t="s">
        <v>384</v>
      </c>
      <c r="K816" s="77">
        <v>41919</v>
      </c>
      <c r="L816" s="76" t="s">
        <v>405</v>
      </c>
      <c r="M816" s="76" t="s">
        <v>2079</v>
      </c>
      <c r="N816" s="76">
        <v>800</v>
      </c>
      <c r="O816" s="76">
        <v>648</v>
      </c>
      <c r="P816" s="78">
        <v>0.19</v>
      </c>
    </row>
    <row r="817" spans="7:16" x14ac:dyDescent="0.3">
      <c r="G817" t="s">
        <v>2080</v>
      </c>
      <c r="H817" s="76" t="s">
        <v>619</v>
      </c>
      <c r="I817" s="76" t="s">
        <v>620</v>
      </c>
      <c r="J817" s="76" t="s">
        <v>372</v>
      </c>
      <c r="K817" s="76" t="s">
        <v>2081</v>
      </c>
      <c r="L817" s="76" t="s">
        <v>391</v>
      </c>
      <c r="M817" s="76" t="s">
        <v>896</v>
      </c>
      <c r="N817" s="76">
        <v>30</v>
      </c>
      <c r="O817" s="76">
        <v>20</v>
      </c>
      <c r="P817" s="78">
        <v>0.33329999999999999</v>
      </c>
    </row>
    <row r="818" spans="7:16" x14ac:dyDescent="0.3">
      <c r="G818" t="s">
        <v>2082</v>
      </c>
      <c r="H818" s="76" t="s">
        <v>485</v>
      </c>
      <c r="I818" s="76" t="s">
        <v>389</v>
      </c>
      <c r="J818" s="76" t="s">
        <v>384</v>
      </c>
      <c r="K818" s="77">
        <v>42280</v>
      </c>
      <c r="L818" s="76" t="s">
        <v>373</v>
      </c>
      <c r="M818" s="76" t="s">
        <v>1673</v>
      </c>
      <c r="N818" s="76">
        <v>700</v>
      </c>
      <c r="O818" s="76">
        <v>462</v>
      </c>
      <c r="P818" s="78">
        <v>0.34</v>
      </c>
    </row>
    <row r="819" spans="7:16" x14ac:dyDescent="0.3">
      <c r="G819" t="s">
        <v>2083</v>
      </c>
      <c r="H819" s="76" t="s">
        <v>845</v>
      </c>
      <c r="I819" s="76" t="s">
        <v>846</v>
      </c>
      <c r="J819" s="76" t="s">
        <v>360</v>
      </c>
      <c r="K819" s="76" t="s">
        <v>629</v>
      </c>
      <c r="L819" s="76" t="s">
        <v>391</v>
      </c>
      <c r="M819" s="76" t="s">
        <v>1457</v>
      </c>
      <c r="N819" s="76">
        <v>30</v>
      </c>
      <c r="O819" s="76">
        <v>29</v>
      </c>
      <c r="P819" s="78">
        <v>3.3300000000000003E-2</v>
      </c>
    </row>
    <row r="820" spans="7:16" x14ac:dyDescent="0.3">
      <c r="G820" t="s">
        <v>2084</v>
      </c>
      <c r="H820" s="76" t="s">
        <v>489</v>
      </c>
      <c r="I820" s="76" t="s">
        <v>490</v>
      </c>
      <c r="J820" s="76" t="s">
        <v>360</v>
      </c>
      <c r="K820" s="76" t="s">
        <v>1680</v>
      </c>
      <c r="L820" s="76" t="s">
        <v>461</v>
      </c>
      <c r="M820" s="76" t="s">
        <v>1539</v>
      </c>
      <c r="N820" s="76">
        <v>70</v>
      </c>
      <c r="O820" s="76">
        <v>66</v>
      </c>
      <c r="P820" s="78">
        <v>5.7099999999999998E-2</v>
      </c>
    </row>
    <row r="821" spans="7:16" x14ac:dyDescent="0.3">
      <c r="G821" t="s">
        <v>2085</v>
      </c>
      <c r="H821" s="76" t="s">
        <v>845</v>
      </c>
      <c r="I821" s="76" t="s">
        <v>846</v>
      </c>
      <c r="J821" s="76" t="s">
        <v>360</v>
      </c>
      <c r="K821" s="76" t="s">
        <v>2086</v>
      </c>
      <c r="L821" s="76" t="s">
        <v>411</v>
      </c>
      <c r="M821" s="76" t="s">
        <v>1240</v>
      </c>
      <c r="N821" s="76">
        <v>1000</v>
      </c>
      <c r="O821" s="76">
        <v>690</v>
      </c>
      <c r="P821" s="78">
        <v>0.31</v>
      </c>
    </row>
    <row r="822" spans="7:16" x14ac:dyDescent="0.3">
      <c r="G822" t="s">
        <v>2087</v>
      </c>
      <c r="H822" s="76" t="s">
        <v>615</v>
      </c>
      <c r="I822" s="76" t="s">
        <v>400</v>
      </c>
      <c r="J822" s="76" t="s">
        <v>372</v>
      </c>
      <c r="K822" s="77">
        <v>42410</v>
      </c>
      <c r="L822" s="76" t="s">
        <v>461</v>
      </c>
      <c r="M822" s="76" t="s">
        <v>617</v>
      </c>
      <c r="N822" s="76">
        <v>70</v>
      </c>
      <c r="O822" s="76">
        <v>69</v>
      </c>
      <c r="P822" s="78">
        <v>1.43E-2</v>
      </c>
    </row>
    <row r="823" spans="7:16" x14ac:dyDescent="0.3">
      <c r="G823" t="s">
        <v>2088</v>
      </c>
      <c r="H823" s="76" t="s">
        <v>547</v>
      </c>
      <c r="I823" s="76" t="s">
        <v>548</v>
      </c>
      <c r="J823" s="76" t="s">
        <v>360</v>
      </c>
      <c r="K823" s="76" t="s">
        <v>930</v>
      </c>
      <c r="L823" s="76" t="s">
        <v>391</v>
      </c>
      <c r="M823" s="76" t="s">
        <v>549</v>
      </c>
      <c r="N823" s="76">
        <v>30</v>
      </c>
      <c r="O823" s="76">
        <v>27</v>
      </c>
      <c r="P823" s="78">
        <v>0.1</v>
      </c>
    </row>
    <row r="824" spans="7:16" x14ac:dyDescent="0.3">
      <c r="G824" t="s">
        <v>2089</v>
      </c>
      <c r="H824" s="76" t="s">
        <v>611</v>
      </c>
      <c r="I824" s="76" t="s">
        <v>389</v>
      </c>
      <c r="J824" s="76" t="s">
        <v>384</v>
      </c>
      <c r="K824" s="76" t="s">
        <v>1144</v>
      </c>
      <c r="L824" s="76" t="s">
        <v>475</v>
      </c>
      <c r="M824" s="76" t="s">
        <v>663</v>
      </c>
      <c r="N824" s="76">
        <v>250</v>
      </c>
      <c r="O824" s="76">
        <v>225</v>
      </c>
      <c r="P824" s="78">
        <v>0.1</v>
      </c>
    </row>
    <row r="825" spans="7:16" x14ac:dyDescent="0.3">
      <c r="G825" t="s">
        <v>2090</v>
      </c>
      <c r="H825" s="76" t="s">
        <v>619</v>
      </c>
      <c r="I825" s="76" t="s">
        <v>620</v>
      </c>
      <c r="J825" s="76" t="s">
        <v>372</v>
      </c>
      <c r="K825" s="76" t="s">
        <v>2091</v>
      </c>
      <c r="L825" s="76" t="s">
        <v>424</v>
      </c>
      <c r="M825" s="76" t="s">
        <v>1476</v>
      </c>
      <c r="N825" s="76">
        <v>500</v>
      </c>
      <c r="O825" s="76">
        <v>500</v>
      </c>
      <c r="P825" s="78">
        <v>0</v>
      </c>
    </row>
    <row r="826" spans="7:16" x14ac:dyDescent="0.3">
      <c r="G826" t="s">
        <v>2092</v>
      </c>
      <c r="H826" s="76" t="s">
        <v>469</v>
      </c>
      <c r="I826" s="76" t="s">
        <v>435</v>
      </c>
      <c r="J826" s="76" t="s">
        <v>360</v>
      </c>
      <c r="K826" s="77">
        <v>42531</v>
      </c>
      <c r="L826" s="76" t="s">
        <v>483</v>
      </c>
      <c r="M826" s="76" t="s">
        <v>922</v>
      </c>
      <c r="N826" s="76">
        <v>50</v>
      </c>
      <c r="O826" s="76">
        <v>45</v>
      </c>
      <c r="P826" s="78">
        <v>0.1</v>
      </c>
    </row>
    <row r="827" spans="7:16" x14ac:dyDescent="0.3">
      <c r="G827" t="s">
        <v>2093</v>
      </c>
      <c r="H827" s="76" t="s">
        <v>514</v>
      </c>
      <c r="I827" s="76" t="s">
        <v>515</v>
      </c>
      <c r="J827" s="76" t="s">
        <v>360</v>
      </c>
      <c r="K827" s="77">
        <v>41794</v>
      </c>
      <c r="L827" s="76" t="s">
        <v>379</v>
      </c>
      <c r="M827" s="76" t="s">
        <v>2094</v>
      </c>
      <c r="N827" s="76">
        <v>150</v>
      </c>
      <c r="O827" s="76">
        <v>137</v>
      </c>
      <c r="P827" s="78">
        <v>8.6699999999999999E-2</v>
      </c>
    </row>
    <row r="828" spans="7:16" x14ac:dyDescent="0.3">
      <c r="G828" t="s">
        <v>2095</v>
      </c>
      <c r="H828" s="76" t="s">
        <v>376</v>
      </c>
      <c r="I828" s="76" t="s">
        <v>377</v>
      </c>
      <c r="J828" s="76" t="s">
        <v>360</v>
      </c>
      <c r="K828" s="77">
        <v>42858</v>
      </c>
      <c r="L828" s="76" t="s">
        <v>396</v>
      </c>
      <c r="M828" s="76" t="s">
        <v>649</v>
      </c>
      <c r="N828" s="76">
        <v>500</v>
      </c>
      <c r="O828" s="76">
        <v>455</v>
      </c>
      <c r="P828" s="78">
        <v>0.09</v>
      </c>
    </row>
    <row r="829" spans="7:16" x14ac:dyDescent="0.3">
      <c r="G829" t="s">
        <v>2096</v>
      </c>
      <c r="H829" s="76" t="s">
        <v>473</v>
      </c>
      <c r="I829" s="76" t="s">
        <v>404</v>
      </c>
      <c r="J829" s="76" t="s">
        <v>360</v>
      </c>
      <c r="K829" s="76" t="s">
        <v>2097</v>
      </c>
      <c r="L829" s="76" t="s">
        <v>424</v>
      </c>
      <c r="M829" s="76" t="s">
        <v>545</v>
      </c>
      <c r="N829" s="76">
        <v>500</v>
      </c>
      <c r="O829" s="76">
        <v>500</v>
      </c>
      <c r="P829" s="78">
        <v>0</v>
      </c>
    </row>
    <row r="830" spans="7:16" x14ac:dyDescent="0.3">
      <c r="G830" t="s">
        <v>2098</v>
      </c>
      <c r="H830" s="76" t="s">
        <v>497</v>
      </c>
      <c r="I830" s="76" t="s">
        <v>445</v>
      </c>
      <c r="J830" s="76" t="s">
        <v>384</v>
      </c>
      <c r="K830" s="76" t="s">
        <v>1586</v>
      </c>
      <c r="L830" s="76" t="s">
        <v>373</v>
      </c>
      <c r="M830" s="76" t="s">
        <v>1254</v>
      </c>
      <c r="N830" s="76">
        <v>700</v>
      </c>
      <c r="O830" s="76">
        <v>644</v>
      </c>
      <c r="P830" s="78">
        <v>0.08</v>
      </c>
    </row>
    <row r="831" spans="7:16" x14ac:dyDescent="0.3">
      <c r="G831" t="s">
        <v>2099</v>
      </c>
      <c r="H831" s="76" t="s">
        <v>485</v>
      </c>
      <c r="I831" s="76" t="s">
        <v>389</v>
      </c>
      <c r="J831" s="76" t="s">
        <v>384</v>
      </c>
      <c r="K831" s="77">
        <v>41791</v>
      </c>
      <c r="L831" s="76" t="s">
        <v>379</v>
      </c>
      <c r="M831" s="76" t="s">
        <v>1467</v>
      </c>
      <c r="N831" s="76">
        <v>150</v>
      </c>
      <c r="O831" s="76">
        <v>123</v>
      </c>
      <c r="P831" s="78">
        <v>0.18</v>
      </c>
    </row>
    <row r="832" spans="7:16" x14ac:dyDescent="0.3">
      <c r="G832" t="s">
        <v>2100</v>
      </c>
      <c r="H832" s="76" t="s">
        <v>358</v>
      </c>
      <c r="I832" s="76" t="s">
        <v>359</v>
      </c>
      <c r="J832" s="76" t="s">
        <v>360</v>
      </c>
      <c r="K832" s="76" t="s">
        <v>2101</v>
      </c>
      <c r="L832" s="76" t="s">
        <v>396</v>
      </c>
      <c r="M832" s="76" t="s">
        <v>575</v>
      </c>
      <c r="N832" s="76">
        <v>500</v>
      </c>
      <c r="O832" s="76">
        <v>475</v>
      </c>
      <c r="P832" s="78">
        <v>0.05</v>
      </c>
    </row>
    <row r="833" spans="7:16" x14ac:dyDescent="0.3">
      <c r="G833" t="s">
        <v>2102</v>
      </c>
      <c r="H833" s="76" t="s">
        <v>656</v>
      </c>
      <c r="I833" s="76" t="s">
        <v>657</v>
      </c>
      <c r="J833" s="76" t="s">
        <v>360</v>
      </c>
      <c r="K833" s="76" t="s">
        <v>2103</v>
      </c>
      <c r="L833" s="76" t="s">
        <v>411</v>
      </c>
      <c r="M833" s="76" t="s">
        <v>2104</v>
      </c>
      <c r="N833" s="76">
        <v>1000</v>
      </c>
      <c r="O833" s="76">
        <v>750</v>
      </c>
      <c r="P833" s="78">
        <v>0.25</v>
      </c>
    </row>
    <row r="834" spans="7:16" x14ac:dyDescent="0.3">
      <c r="G834" t="s">
        <v>2105</v>
      </c>
      <c r="H834" s="76" t="s">
        <v>444</v>
      </c>
      <c r="I834" s="76" t="s">
        <v>445</v>
      </c>
      <c r="J834" s="76" t="s">
        <v>384</v>
      </c>
      <c r="K834" s="76" t="s">
        <v>710</v>
      </c>
      <c r="L834" s="76" t="s">
        <v>379</v>
      </c>
      <c r="M834" s="76" t="s">
        <v>2106</v>
      </c>
      <c r="N834" s="76">
        <v>150</v>
      </c>
      <c r="O834" s="76">
        <v>150</v>
      </c>
      <c r="P834" s="78">
        <v>0</v>
      </c>
    </row>
    <row r="835" spans="7:16" x14ac:dyDescent="0.3">
      <c r="G835" t="s">
        <v>2107</v>
      </c>
      <c r="H835" s="76" t="s">
        <v>656</v>
      </c>
      <c r="I835" s="76" t="s">
        <v>657</v>
      </c>
      <c r="J835" s="76" t="s">
        <v>360</v>
      </c>
      <c r="K835" s="76" t="s">
        <v>2108</v>
      </c>
      <c r="L835" s="76" t="s">
        <v>461</v>
      </c>
      <c r="M835" s="76" t="s">
        <v>2109</v>
      </c>
      <c r="N835" s="76">
        <v>70</v>
      </c>
      <c r="O835" s="76">
        <v>63</v>
      </c>
      <c r="P835" s="78">
        <v>0.1</v>
      </c>
    </row>
    <row r="836" spans="7:16" x14ac:dyDescent="0.3">
      <c r="G836" t="s">
        <v>2110</v>
      </c>
      <c r="H836" s="76" t="s">
        <v>449</v>
      </c>
      <c r="I836" s="76" t="s">
        <v>450</v>
      </c>
      <c r="J836" s="76" t="s">
        <v>360</v>
      </c>
      <c r="K836" s="77">
        <v>42320</v>
      </c>
      <c r="L836" s="76" t="s">
        <v>461</v>
      </c>
      <c r="M836" s="76" t="s">
        <v>928</v>
      </c>
      <c r="N836" s="76">
        <v>70</v>
      </c>
      <c r="O836" s="76">
        <v>57</v>
      </c>
      <c r="P836" s="78">
        <v>0.1857</v>
      </c>
    </row>
    <row r="837" spans="7:16" x14ac:dyDescent="0.3">
      <c r="G837" t="s">
        <v>2111</v>
      </c>
      <c r="H837" s="76" t="s">
        <v>514</v>
      </c>
      <c r="I837" s="76" t="s">
        <v>515</v>
      </c>
      <c r="J837" s="76" t="s">
        <v>360</v>
      </c>
      <c r="K837" s="77">
        <v>43102</v>
      </c>
      <c r="L837" s="76" t="s">
        <v>379</v>
      </c>
      <c r="M837" s="76" t="s">
        <v>2112</v>
      </c>
      <c r="N837" s="76">
        <v>150</v>
      </c>
      <c r="O837" s="76">
        <v>143</v>
      </c>
      <c r="P837" s="78">
        <v>4.6699999999999998E-2</v>
      </c>
    </row>
    <row r="838" spans="7:16" x14ac:dyDescent="0.3">
      <c r="G838" t="s">
        <v>2113</v>
      </c>
      <c r="H838" s="76" t="s">
        <v>364</v>
      </c>
      <c r="I838" s="76" t="s">
        <v>365</v>
      </c>
      <c r="J838" s="76" t="s">
        <v>366</v>
      </c>
      <c r="K838" s="76" t="s">
        <v>2114</v>
      </c>
      <c r="L838" s="76" t="s">
        <v>391</v>
      </c>
      <c r="M838" s="76" t="s">
        <v>442</v>
      </c>
      <c r="N838" s="76">
        <v>30</v>
      </c>
      <c r="O838" s="76">
        <v>27</v>
      </c>
      <c r="P838" s="78">
        <v>0.1</v>
      </c>
    </row>
    <row r="839" spans="7:16" x14ac:dyDescent="0.3">
      <c r="G839" t="s">
        <v>2115</v>
      </c>
      <c r="H839" s="76" t="s">
        <v>519</v>
      </c>
      <c r="I839" s="76" t="s">
        <v>520</v>
      </c>
      <c r="J839" s="76" t="s">
        <v>360</v>
      </c>
      <c r="K839" s="77">
        <v>42829</v>
      </c>
      <c r="L839" s="76" t="s">
        <v>405</v>
      </c>
      <c r="M839" s="76" t="s">
        <v>2116</v>
      </c>
      <c r="N839" s="76">
        <v>800</v>
      </c>
      <c r="O839" s="76">
        <v>648</v>
      </c>
      <c r="P839" s="78">
        <v>0.19</v>
      </c>
    </row>
    <row r="840" spans="7:16" x14ac:dyDescent="0.3">
      <c r="G840" t="s">
        <v>2117</v>
      </c>
      <c r="H840" s="76" t="s">
        <v>566</v>
      </c>
      <c r="I840" s="76" t="s">
        <v>567</v>
      </c>
      <c r="J840" s="76" t="s">
        <v>360</v>
      </c>
      <c r="K840" s="76" t="s">
        <v>2118</v>
      </c>
      <c r="L840" s="76" t="s">
        <v>411</v>
      </c>
      <c r="M840" s="76" t="s">
        <v>1378</v>
      </c>
      <c r="N840" s="76">
        <v>1000</v>
      </c>
      <c r="O840" s="76">
        <v>970</v>
      </c>
      <c r="P840" s="78">
        <v>0.03</v>
      </c>
    </row>
    <row r="841" spans="7:16" x14ac:dyDescent="0.3">
      <c r="G841" t="s">
        <v>2119</v>
      </c>
      <c r="H841" s="76" t="s">
        <v>591</v>
      </c>
      <c r="I841" s="76" t="s">
        <v>592</v>
      </c>
      <c r="J841" s="76" t="s">
        <v>372</v>
      </c>
      <c r="K841" s="76" t="s">
        <v>2120</v>
      </c>
      <c r="L841" s="76" t="s">
        <v>461</v>
      </c>
      <c r="M841" s="76" t="s">
        <v>1327</v>
      </c>
      <c r="N841" s="76">
        <v>70</v>
      </c>
      <c r="O841" s="76">
        <v>67</v>
      </c>
      <c r="P841" s="78">
        <v>4.2900000000000001E-2</v>
      </c>
    </row>
    <row r="842" spans="7:16" x14ac:dyDescent="0.3">
      <c r="G842" t="s">
        <v>2121</v>
      </c>
      <c r="H842" s="76" t="s">
        <v>497</v>
      </c>
      <c r="I842" s="76" t="s">
        <v>445</v>
      </c>
      <c r="J842" s="76" t="s">
        <v>384</v>
      </c>
      <c r="K842" s="76" t="s">
        <v>1842</v>
      </c>
      <c r="L842" s="76" t="s">
        <v>411</v>
      </c>
      <c r="M842" s="76" t="s">
        <v>1030</v>
      </c>
      <c r="N842" s="76">
        <v>1000</v>
      </c>
      <c r="O842" s="76">
        <v>890</v>
      </c>
      <c r="P842" s="78">
        <v>0.11</v>
      </c>
    </row>
    <row r="843" spans="7:16" x14ac:dyDescent="0.3">
      <c r="G843" t="s">
        <v>2122</v>
      </c>
      <c r="H843" s="76" t="s">
        <v>528</v>
      </c>
      <c r="I843" s="76" t="s">
        <v>465</v>
      </c>
      <c r="J843" s="76" t="s">
        <v>366</v>
      </c>
      <c r="K843" s="77">
        <v>42071</v>
      </c>
      <c r="L843" s="76" t="s">
        <v>373</v>
      </c>
      <c r="M843" s="76" t="s">
        <v>723</v>
      </c>
      <c r="N843" s="76">
        <v>700</v>
      </c>
      <c r="O843" s="76">
        <v>476</v>
      </c>
      <c r="P843" s="78">
        <v>0.32</v>
      </c>
    </row>
    <row r="844" spans="7:16" x14ac:dyDescent="0.3">
      <c r="G844" t="s">
        <v>2123</v>
      </c>
      <c r="H844" s="76" t="s">
        <v>454</v>
      </c>
      <c r="I844" s="76" t="s">
        <v>455</v>
      </c>
      <c r="J844" s="76" t="s">
        <v>360</v>
      </c>
      <c r="K844" s="77">
        <v>42011</v>
      </c>
      <c r="L844" s="76" t="s">
        <v>461</v>
      </c>
      <c r="M844" s="76" t="s">
        <v>1772</v>
      </c>
      <c r="N844" s="76">
        <v>70</v>
      </c>
      <c r="O844" s="76">
        <v>52</v>
      </c>
      <c r="P844" s="78">
        <v>0.2571</v>
      </c>
    </row>
    <row r="845" spans="7:16" x14ac:dyDescent="0.3">
      <c r="G845" t="s">
        <v>2124</v>
      </c>
      <c r="H845" s="76" t="s">
        <v>497</v>
      </c>
      <c r="I845" s="76" t="s">
        <v>445</v>
      </c>
      <c r="J845" s="76" t="s">
        <v>384</v>
      </c>
      <c r="K845" s="77">
        <v>43353</v>
      </c>
      <c r="L845" s="76" t="s">
        <v>373</v>
      </c>
      <c r="M845" s="76" t="s">
        <v>1828</v>
      </c>
      <c r="N845" s="76">
        <v>700</v>
      </c>
      <c r="O845" s="76">
        <v>686</v>
      </c>
      <c r="P845" s="78">
        <v>0.02</v>
      </c>
    </row>
    <row r="846" spans="7:16" x14ac:dyDescent="0.3">
      <c r="G846" t="s">
        <v>2125</v>
      </c>
      <c r="H846" s="76" t="s">
        <v>528</v>
      </c>
      <c r="I846" s="76" t="s">
        <v>465</v>
      </c>
      <c r="J846" s="76" t="s">
        <v>366</v>
      </c>
      <c r="K846" s="77">
        <v>43317</v>
      </c>
      <c r="L846" s="76" t="s">
        <v>411</v>
      </c>
      <c r="M846" s="76" t="s">
        <v>933</v>
      </c>
      <c r="N846" s="76">
        <v>1000</v>
      </c>
      <c r="O846" s="76">
        <v>640</v>
      </c>
      <c r="P846" s="78">
        <v>0.36</v>
      </c>
    </row>
    <row r="847" spans="7:16" x14ac:dyDescent="0.3">
      <c r="G847" t="s">
        <v>2126</v>
      </c>
      <c r="H847" s="76" t="s">
        <v>497</v>
      </c>
      <c r="I847" s="76" t="s">
        <v>445</v>
      </c>
      <c r="J847" s="76" t="s">
        <v>384</v>
      </c>
      <c r="K847" s="76" t="s">
        <v>2127</v>
      </c>
      <c r="L847" s="76" t="s">
        <v>396</v>
      </c>
      <c r="M847" s="76" t="s">
        <v>1675</v>
      </c>
      <c r="N847" s="76">
        <v>500</v>
      </c>
      <c r="O847" s="76">
        <v>440</v>
      </c>
      <c r="P847" s="78">
        <v>0.12</v>
      </c>
    </row>
    <row r="848" spans="7:16" x14ac:dyDescent="0.3">
      <c r="G848" t="s">
        <v>2128</v>
      </c>
      <c r="H848" s="76" t="s">
        <v>429</v>
      </c>
      <c r="I848" s="76" t="s">
        <v>430</v>
      </c>
      <c r="J848" s="76" t="s">
        <v>384</v>
      </c>
      <c r="K848" s="76" t="s">
        <v>1349</v>
      </c>
      <c r="L848" s="76" t="s">
        <v>361</v>
      </c>
      <c r="M848" s="76" t="s">
        <v>740</v>
      </c>
      <c r="N848" s="76">
        <v>80</v>
      </c>
      <c r="O848" s="76">
        <v>75</v>
      </c>
      <c r="P848" s="78">
        <v>6.25E-2</v>
      </c>
    </row>
    <row r="849" spans="7:16" x14ac:dyDescent="0.3">
      <c r="G849" t="s">
        <v>2129</v>
      </c>
      <c r="H849" s="76" t="s">
        <v>376</v>
      </c>
      <c r="I849" s="76" t="s">
        <v>377</v>
      </c>
      <c r="J849" s="76" t="s">
        <v>360</v>
      </c>
      <c r="K849" s="76" t="s">
        <v>930</v>
      </c>
      <c r="L849" s="76" t="s">
        <v>379</v>
      </c>
      <c r="M849" s="76" t="s">
        <v>906</v>
      </c>
      <c r="N849" s="76">
        <v>150</v>
      </c>
      <c r="O849" s="76">
        <v>144</v>
      </c>
      <c r="P849" s="78">
        <v>0.04</v>
      </c>
    </row>
    <row r="850" spans="7:16" x14ac:dyDescent="0.3">
      <c r="G850" t="s">
        <v>2130</v>
      </c>
      <c r="H850" s="76" t="s">
        <v>891</v>
      </c>
      <c r="I850" s="76" t="s">
        <v>892</v>
      </c>
      <c r="J850" s="76" t="s">
        <v>372</v>
      </c>
      <c r="K850" s="77">
        <v>42655</v>
      </c>
      <c r="L850" s="76" t="s">
        <v>391</v>
      </c>
      <c r="M850" s="76" t="s">
        <v>893</v>
      </c>
      <c r="N850" s="76">
        <v>30</v>
      </c>
      <c r="O850" s="76">
        <v>26</v>
      </c>
      <c r="P850" s="78">
        <v>0.1333</v>
      </c>
    </row>
    <row r="851" spans="7:16" x14ac:dyDescent="0.3">
      <c r="G851" t="s">
        <v>2131</v>
      </c>
      <c r="H851" s="76" t="s">
        <v>497</v>
      </c>
      <c r="I851" s="76" t="s">
        <v>445</v>
      </c>
      <c r="J851" s="76" t="s">
        <v>384</v>
      </c>
      <c r="K851" s="76" t="s">
        <v>2132</v>
      </c>
      <c r="L851" s="76" t="s">
        <v>361</v>
      </c>
      <c r="M851" s="76" t="s">
        <v>1734</v>
      </c>
      <c r="N851" s="76">
        <v>80</v>
      </c>
      <c r="O851" s="76">
        <v>74</v>
      </c>
      <c r="P851" s="78">
        <v>7.4999999999999997E-2</v>
      </c>
    </row>
    <row r="852" spans="7:16" x14ac:dyDescent="0.3">
      <c r="G852" t="s">
        <v>2133</v>
      </c>
      <c r="H852" s="76" t="s">
        <v>485</v>
      </c>
      <c r="I852" s="76" t="s">
        <v>389</v>
      </c>
      <c r="J852" s="76" t="s">
        <v>384</v>
      </c>
      <c r="K852" s="76" t="s">
        <v>2134</v>
      </c>
      <c r="L852" s="76" t="s">
        <v>475</v>
      </c>
      <c r="M852" s="76" t="s">
        <v>487</v>
      </c>
      <c r="N852" s="76">
        <v>250</v>
      </c>
      <c r="O852" s="76">
        <v>245</v>
      </c>
      <c r="P852" s="78">
        <v>0.02</v>
      </c>
    </row>
    <row r="853" spans="7:16" x14ac:dyDescent="0.3">
      <c r="G853" t="s">
        <v>2135</v>
      </c>
      <c r="H853" s="76" t="s">
        <v>489</v>
      </c>
      <c r="I853" s="76" t="s">
        <v>490</v>
      </c>
      <c r="J853" s="76" t="s">
        <v>360</v>
      </c>
      <c r="K853" s="76" t="s">
        <v>2136</v>
      </c>
      <c r="L853" s="76" t="s">
        <v>411</v>
      </c>
      <c r="M853" s="76" t="s">
        <v>1015</v>
      </c>
      <c r="N853" s="76">
        <v>1000</v>
      </c>
      <c r="O853" s="76">
        <v>940</v>
      </c>
      <c r="P853" s="78">
        <v>0.06</v>
      </c>
    </row>
    <row r="854" spans="7:16" x14ac:dyDescent="0.3">
      <c r="G854" t="s">
        <v>2137</v>
      </c>
      <c r="H854" s="76" t="s">
        <v>656</v>
      </c>
      <c r="I854" s="76" t="s">
        <v>657</v>
      </c>
      <c r="J854" s="76" t="s">
        <v>360</v>
      </c>
      <c r="K854" s="77">
        <v>43045</v>
      </c>
      <c r="L854" s="76" t="s">
        <v>385</v>
      </c>
      <c r="M854" s="76" t="s">
        <v>1389</v>
      </c>
      <c r="N854" s="76">
        <v>50</v>
      </c>
      <c r="O854" s="76">
        <v>50</v>
      </c>
      <c r="P854" s="78">
        <v>0</v>
      </c>
    </row>
    <row r="855" spans="7:16" x14ac:dyDescent="0.3">
      <c r="G855" t="s">
        <v>2138</v>
      </c>
      <c r="H855" s="76" t="s">
        <v>429</v>
      </c>
      <c r="I855" s="76" t="s">
        <v>430</v>
      </c>
      <c r="J855" s="76" t="s">
        <v>384</v>
      </c>
      <c r="K855" s="76" t="s">
        <v>2136</v>
      </c>
      <c r="L855" s="76" t="s">
        <v>385</v>
      </c>
      <c r="M855" s="76" t="s">
        <v>1746</v>
      </c>
      <c r="N855" s="76">
        <v>50</v>
      </c>
      <c r="O855" s="76">
        <v>46</v>
      </c>
      <c r="P855" s="78">
        <v>0.08</v>
      </c>
    </row>
    <row r="856" spans="7:16" x14ac:dyDescent="0.3">
      <c r="G856" t="s">
        <v>2139</v>
      </c>
      <c r="H856" s="76" t="s">
        <v>845</v>
      </c>
      <c r="I856" s="76" t="s">
        <v>846</v>
      </c>
      <c r="J856" s="76" t="s">
        <v>360</v>
      </c>
      <c r="K856" s="77">
        <v>43077</v>
      </c>
      <c r="L856" s="76" t="s">
        <v>373</v>
      </c>
      <c r="M856" s="76" t="s">
        <v>963</v>
      </c>
      <c r="N856" s="76">
        <v>700</v>
      </c>
      <c r="O856" s="76">
        <v>665</v>
      </c>
      <c r="P856" s="78">
        <v>0.05</v>
      </c>
    </row>
    <row r="857" spans="7:16" x14ac:dyDescent="0.3">
      <c r="G857" t="s">
        <v>2140</v>
      </c>
      <c r="H857" s="76" t="s">
        <v>473</v>
      </c>
      <c r="I857" s="76" t="s">
        <v>404</v>
      </c>
      <c r="J857" s="76" t="s">
        <v>360</v>
      </c>
      <c r="K857" s="77">
        <v>41732</v>
      </c>
      <c r="L857" s="76" t="s">
        <v>411</v>
      </c>
      <c r="M857" s="76" t="s">
        <v>1742</v>
      </c>
      <c r="N857" s="76">
        <v>1000</v>
      </c>
      <c r="O857" s="76">
        <v>950</v>
      </c>
      <c r="P857" s="78">
        <v>0.05</v>
      </c>
    </row>
    <row r="858" spans="7:16" x14ac:dyDescent="0.3">
      <c r="G858" t="s">
        <v>2141</v>
      </c>
      <c r="H858" s="76" t="s">
        <v>547</v>
      </c>
      <c r="I858" s="76" t="s">
        <v>548</v>
      </c>
      <c r="J858" s="76" t="s">
        <v>360</v>
      </c>
      <c r="K858" s="77">
        <v>41915</v>
      </c>
      <c r="L858" s="76" t="s">
        <v>379</v>
      </c>
      <c r="M858" s="76" t="s">
        <v>1567</v>
      </c>
      <c r="N858" s="76">
        <v>150</v>
      </c>
      <c r="O858" s="76">
        <v>135</v>
      </c>
      <c r="P858" s="78">
        <v>0.1</v>
      </c>
    </row>
    <row r="859" spans="7:16" x14ac:dyDescent="0.3">
      <c r="G859" t="s">
        <v>2142</v>
      </c>
      <c r="H859" s="76" t="s">
        <v>494</v>
      </c>
      <c r="I859" s="76" t="s">
        <v>465</v>
      </c>
      <c r="J859" s="76" t="s">
        <v>366</v>
      </c>
      <c r="K859" s="76" t="s">
        <v>1166</v>
      </c>
      <c r="L859" s="76" t="s">
        <v>391</v>
      </c>
      <c r="M859" s="76" t="s">
        <v>495</v>
      </c>
      <c r="N859" s="76">
        <v>30</v>
      </c>
      <c r="O859" s="76">
        <v>29</v>
      </c>
      <c r="P859" s="78">
        <v>3.3300000000000003E-2</v>
      </c>
    </row>
    <row r="860" spans="7:16" x14ac:dyDescent="0.3">
      <c r="G860" t="s">
        <v>2143</v>
      </c>
      <c r="H860" s="76" t="s">
        <v>656</v>
      </c>
      <c r="I860" s="76" t="s">
        <v>657</v>
      </c>
      <c r="J860" s="76" t="s">
        <v>360</v>
      </c>
      <c r="K860" s="76" t="s">
        <v>1363</v>
      </c>
      <c r="L860" s="76" t="s">
        <v>475</v>
      </c>
      <c r="M860" s="76" t="s">
        <v>2144</v>
      </c>
      <c r="N860" s="76">
        <v>250</v>
      </c>
      <c r="O860" s="76">
        <v>243</v>
      </c>
      <c r="P860" s="78">
        <v>2.8000000000000001E-2</v>
      </c>
    </row>
    <row r="861" spans="7:16" x14ac:dyDescent="0.3">
      <c r="G861" t="s">
        <v>2145</v>
      </c>
      <c r="H861" s="76" t="s">
        <v>497</v>
      </c>
      <c r="I861" s="76" t="s">
        <v>445</v>
      </c>
      <c r="J861" s="76" t="s">
        <v>384</v>
      </c>
      <c r="K861" s="76" t="s">
        <v>2146</v>
      </c>
      <c r="L861" s="76" t="s">
        <v>391</v>
      </c>
      <c r="M861" s="76" t="s">
        <v>499</v>
      </c>
      <c r="N861" s="76">
        <v>30</v>
      </c>
      <c r="O861" s="76">
        <v>29</v>
      </c>
      <c r="P861" s="78">
        <v>3.3300000000000003E-2</v>
      </c>
    </row>
    <row r="862" spans="7:16" x14ac:dyDescent="0.3">
      <c r="G862" t="s">
        <v>2147</v>
      </c>
      <c r="H862" s="76" t="s">
        <v>485</v>
      </c>
      <c r="I862" s="76" t="s">
        <v>389</v>
      </c>
      <c r="J862" s="76" t="s">
        <v>384</v>
      </c>
      <c r="K862" s="76" t="s">
        <v>2148</v>
      </c>
      <c r="L862" s="76" t="s">
        <v>396</v>
      </c>
      <c r="M862" s="76" t="s">
        <v>1608</v>
      </c>
      <c r="N862" s="76">
        <v>500</v>
      </c>
      <c r="O862" s="76">
        <v>490</v>
      </c>
      <c r="P862" s="78">
        <v>0.02</v>
      </c>
    </row>
    <row r="863" spans="7:16" x14ac:dyDescent="0.3">
      <c r="G863" t="s">
        <v>2149</v>
      </c>
      <c r="H863" s="76" t="s">
        <v>364</v>
      </c>
      <c r="I863" s="76" t="s">
        <v>365</v>
      </c>
      <c r="J863" s="76" t="s">
        <v>366</v>
      </c>
      <c r="K863" s="76" t="s">
        <v>2150</v>
      </c>
      <c r="L863" s="76" t="s">
        <v>373</v>
      </c>
      <c r="M863" s="76" t="s">
        <v>442</v>
      </c>
      <c r="N863" s="76">
        <v>700</v>
      </c>
      <c r="O863" s="76">
        <v>686</v>
      </c>
      <c r="P863" s="78">
        <v>0.02</v>
      </c>
    </row>
    <row r="864" spans="7:16" x14ac:dyDescent="0.3">
      <c r="G864" t="s">
        <v>2151</v>
      </c>
      <c r="H864" s="76" t="s">
        <v>459</v>
      </c>
      <c r="I864" s="76" t="s">
        <v>422</v>
      </c>
      <c r="J864" s="76" t="s">
        <v>384</v>
      </c>
      <c r="K864" s="76" t="s">
        <v>2152</v>
      </c>
      <c r="L864" s="76" t="s">
        <v>361</v>
      </c>
      <c r="M864" s="76" t="s">
        <v>1120</v>
      </c>
      <c r="N864" s="76">
        <v>80</v>
      </c>
      <c r="O864" s="76">
        <v>75</v>
      </c>
      <c r="P864" s="78">
        <v>6.25E-2</v>
      </c>
    </row>
    <row r="865" spans="7:16" x14ac:dyDescent="0.3">
      <c r="G865" t="s">
        <v>2153</v>
      </c>
      <c r="H865" s="76" t="s">
        <v>421</v>
      </c>
      <c r="I865" s="76" t="s">
        <v>422</v>
      </c>
      <c r="J865" s="76" t="s">
        <v>384</v>
      </c>
      <c r="K865" s="77">
        <v>43378</v>
      </c>
      <c r="L865" s="76" t="s">
        <v>475</v>
      </c>
      <c r="M865" s="76" t="s">
        <v>1211</v>
      </c>
      <c r="N865" s="76">
        <v>250</v>
      </c>
      <c r="O865" s="76">
        <v>223</v>
      </c>
      <c r="P865" s="78">
        <v>0.108</v>
      </c>
    </row>
    <row r="866" spans="7:16" x14ac:dyDescent="0.3">
      <c r="G866" t="s">
        <v>2154</v>
      </c>
      <c r="H866" s="76" t="s">
        <v>473</v>
      </c>
      <c r="I866" s="76" t="s">
        <v>404</v>
      </c>
      <c r="J866" s="76" t="s">
        <v>360</v>
      </c>
      <c r="K866" s="77">
        <v>42525</v>
      </c>
      <c r="L866" s="76" t="s">
        <v>396</v>
      </c>
      <c r="M866" s="76" t="s">
        <v>1742</v>
      </c>
      <c r="N866" s="76">
        <v>500</v>
      </c>
      <c r="O866" s="76">
        <v>480</v>
      </c>
      <c r="P866" s="78">
        <v>0.04</v>
      </c>
    </row>
    <row r="867" spans="7:16" x14ac:dyDescent="0.3">
      <c r="G867" t="s">
        <v>2155</v>
      </c>
      <c r="H867" s="76" t="s">
        <v>444</v>
      </c>
      <c r="I867" s="76" t="s">
        <v>445</v>
      </c>
      <c r="J867" s="76" t="s">
        <v>384</v>
      </c>
      <c r="K867" s="77">
        <v>43043</v>
      </c>
      <c r="L867" s="76" t="s">
        <v>483</v>
      </c>
      <c r="M867" s="76" t="s">
        <v>447</v>
      </c>
      <c r="N867" s="76">
        <v>50</v>
      </c>
      <c r="O867" s="76">
        <v>50</v>
      </c>
      <c r="P867" s="78">
        <v>0</v>
      </c>
    </row>
    <row r="868" spans="7:16" x14ac:dyDescent="0.3">
      <c r="G868" t="s">
        <v>2156</v>
      </c>
      <c r="H868" s="76" t="s">
        <v>485</v>
      </c>
      <c r="I868" s="76" t="s">
        <v>389</v>
      </c>
      <c r="J868" s="76" t="s">
        <v>384</v>
      </c>
      <c r="K868" s="76" t="s">
        <v>1474</v>
      </c>
      <c r="L868" s="76" t="s">
        <v>385</v>
      </c>
      <c r="M868" s="76" t="s">
        <v>1467</v>
      </c>
      <c r="N868" s="76">
        <v>50</v>
      </c>
      <c r="O868" s="76">
        <v>42</v>
      </c>
      <c r="P868" s="78">
        <v>0.16</v>
      </c>
    </row>
    <row r="869" spans="7:16" x14ac:dyDescent="0.3">
      <c r="G869" t="s">
        <v>2157</v>
      </c>
      <c r="H869" s="76" t="s">
        <v>364</v>
      </c>
      <c r="I869" s="76" t="s">
        <v>365</v>
      </c>
      <c r="J869" s="76" t="s">
        <v>366</v>
      </c>
      <c r="K869" s="76" t="s">
        <v>2158</v>
      </c>
      <c r="L869" s="76" t="s">
        <v>391</v>
      </c>
      <c r="M869" s="76" t="s">
        <v>973</v>
      </c>
      <c r="N869" s="76">
        <v>30</v>
      </c>
      <c r="O869" s="76">
        <v>21</v>
      </c>
      <c r="P869" s="78">
        <v>0.3</v>
      </c>
    </row>
    <row r="870" spans="7:16" x14ac:dyDescent="0.3">
      <c r="G870" t="s">
        <v>2159</v>
      </c>
      <c r="H870" s="76" t="s">
        <v>560</v>
      </c>
      <c r="I870" s="76" t="s">
        <v>465</v>
      </c>
      <c r="J870" s="76" t="s">
        <v>366</v>
      </c>
      <c r="K870" s="76" t="s">
        <v>2160</v>
      </c>
      <c r="L870" s="76" t="s">
        <v>424</v>
      </c>
      <c r="M870" s="76" t="s">
        <v>589</v>
      </c>
      <c r="N870" s="76">
        <v>500</v>
      </c>
      <c r="O870" s="76">
        <v>500</v>
      </c>
      <c r="P870" s="78">
        <v>0</v>
      </c>
    </row>
    <row r="871" spans="7:16" x14ac:dyDescent="0.3">
      <c r="G871" t="s">
        <v>2161</v>
      </c>
      <c r="H871" s="76" t="s">
        <v>560</v>
      </c>
      <c r="I871" s="76" t="s">
        <v>465</v>
      </c>
      <c r="J871" s="76" t="s">
        <v>366</v>
      </c>
      <c r="K871" s="76" t="s">
        <v>2162</v>
      </c>
      <c r="L871" s="76" t="s">
        <v>405</v>
      </c>
      <c r="M871" s="76" t="s">
        <v>987</v>
      </c>
      <c r="N871" s="76">
        <v>800</v>
      </c>
      <c r="O871" s="76">
        <v>632</v>
      </c>
      <c r="P871" s="78">
        <v>0.21</v>
      </c>
    </row>
    <row r="872" spans="7:16" x14ac:dyDescent="0.3">
      <c r="G872" t="s">
        <v>2163</v>
      </c>
      <c r="H872" s="76" t="s">
        <v>497</v>
      </c>
      <c r="I872" s="76" t="s">
        <v>445</v>
      </c>
      <c r="J872" s="76" t="s">
        <v>384</v>
      </c>
      <c r="K872" s="76" t="s">
        <v>2164</v>
      </c>
      <c r="L872" s="76" t="s">
        <v>483</v>
      </c>
      <c r="M872" s="76" t="s">
        <v>1220</v>
      </c>
      <c r="N872" s="76">
        <v>50</v>
      </c>
      <c r="O872" s="76">
        <v>46</v>
      </c>
      <c r="P872" s="78">
        <v>0.08</v>
      </c>
    </row>
    <row r="873" spans="7:16" x14ac:dyDescent="0.3">
      <c r="G873" t="s">
        <v>2165</v>
      </c>
      <c r="H873" s="76" t="s">
        <v>485</v>
      </c>
      <c r="I873" s="76" t="s">
        <v>389</v>
      </c>
      <c r="J873" s="76" t="s">
        <v>384</v>
      </c>
      <c r="K873" s="76" t="s">
        <v>735</v>
      </c>
      <c r="L873" s="76" t="s">
        <v>385</v>
      </c>
      <c r="M873" s="76" t="s">
        <v>487</v>
      </c>
      <c r="N873" s="76">
        <v>50</v>
      </c>
      <c r="O873" s="76">
        <v>48</v>
      </c>
      <c r="P873" s="78">
        <v>0.04</v>
      </c>
    </row>
    <row r="874" spans="7:16" x14ac:dyDescent="0.3">
      <c r="G874" t="s">
        <v>2166</v>
      </c>
      <c r="H874" s="76" t="s">
        <v>524</v>
      </c>
      <c r="I874" s="76" t="s">
        <v>465</v>
      </c>
      <c r="J874" s="76" t="s">
        <v>366</v>
      </c>
      <c r="K874" s="76" t="s">
        <v>651</v>
      </c>
      <c r="L874" s="76" t="s">
        <v>405</v>
      </c>
      <c r="M874" s="76" t="s">
        <v>526</v>
      </c>
      <c r="N874" s="76">
        <v>800</v>
      </c>
      <c r="O874" s="76">
        <v>528</v>
      </c>
      <c r="P874" s="78">
        <v>0.34</v>
      </c>
    </row>
    <row r="875" spans="7:16" x14ac:dyDescent="0.3">
      <c r="G875" t="s">
        <v>2167</v>
      </c>
      <c r="H875" s="76" t="s">
        <v>566</v>
      </c>
      <c r="I875" s="76" t="s">
        <v>567</v>
      </c>
      <c r="J875" s="76" t="s">
        <v>360</v>
      </c>
      <c r="K875" s="77">
        <v>42614</v>
      </c>
      <c r="L875" s="76" t="s">
        <v>483</v>
      </c>
      <c r="M875" s="76" t="s">
        <v>1849</v>
      </c>
      <c r="N875" s="76">
        <v>50</v>
      </c>
      <c r="O875" s="76">
        <v>47</v>
      </c>
      <c r="P875" s="78">
        <v>0.06</v>
      </c>
    </row>
    <row r="876" spans="7:16" x14ac:dyDescent="0.3">
      <c r="G876" t="s">
        <v>2168</v>
      </c>
      <c r="H876" s="76" t="s">
        <v>611</v>
      </c>
      <c r="I876" s="76" t="s">
        <v>389</v>
      </c>
      <c r="J876" s="76" t="s">
        <v>384</v>
      </c>
      <c r="K876" s="76" t="s">
        <v>2169</v>
      </c>
      <c r="L876" s="76" t="s">
        <v>379</v>
      </c>
      <c r="M876" s="76" t="s">
        <v>1883</v>
      </c>
      <c r="N876" s="76">
        <v>150</v>
      </c>
      <c r="O876" s="76">
        <v>129</v>
      </c>
      <c r="P876" s="78">
        <v>0.14000000000000001</v>
      </c>
    </row>
    <row r="877" spans="7:16" x14ac:dyDescent="0.3">
      <c r="G877" t="s">
        <v>2170</v>
      </c>
      <c r="H877" s="76" t="s">
        <v>619</v>
      </c>
      <c r="I877" s="76" t="s">
        <v>620</v>
      </c>
      <c r="J877" s="76" t="s">
        <v>372</v>
      </c>
      <c r="K877" s="76" t="s">
        <v>2171</v>
      </c>
      <c r="L877" s="76" t="s">
        <v>373</v>
      </c>
      <c r="M877" s="76" t="s">
        <v>621</v>
      </c>
      <c r="N877" s="76">
        <v>700</v>
      </c>
      <c r="O877" s="76">
        <v>581</v>
      </c>
      <c r="P877" s="78">
        <v>0.17</v>
      </c>
    </row>
    <row r="878" spans="7:16" x14ac:dyDescent="0.3">
      <c r="G878" t="s">
        <v>2172</v>
      </c>
      <c r="H878" s="76" t="s">
        <v>611</v>
      </c>
      <c r="I878" s="76" t="s">
        <v>389</v>
      </c>
      <c r="J878" s="76" t="s">
        <v>384</v>
      </c>
      <c r="K878" s="76" t="s">
        <v>2173</v>
      </c>
      <c r="L878" s="76" t="s">
        <v>391</v>
      </c>
      <c r="M878" s="76" t="s">
        <v>663</v>
      </c>
      <c r="N878" s="76">
        <v>30</v>
      </c>
      <c r="O878" s="76">
        <v>27</v>
      </c>
      <c r="P878" s="78">
        <v>0.1</v>
      </c>
    </row>
    <row r="879" spans="7:16" x14ac:dyDescent="0.3">
      <c r="G879" t="s">
        <v>2174</v>
      </c>
      <c r="H879" s="76" t="s">
        <v>497</v>
      </c>
      <c r="I879" s="76" t="s">
        <v>445</v>
      </c>
      <c r="J879" s="76" t="s">
        <v>384</v>
      </c>
      <c r="K879" s="76" t="s">
        <v>2175</v>
      </c>
      <c r="L879" s="76" t="s">
        <v>361</v>
      </c>
      <c r="M879" s="76" t="s">
        <v>1734</v>
      </c>
      <c r="N879" s="76">
        <v>80</v>
      </c>
      <c r="O879" s="76">
        <v>75</v>
      </c>
      <c r="P879" s="78">
        <v>6.25E-2</v>
      </c>
    </row>
    <row r="880" spans="7:16" x14ac:dyDescent="0.3">
      <c r="G880" t="s">
        <v>2176</v>
      </c>
      <c r="H880" s="76" t="s">
        <v>497</v>
      </c>
      <c r="I880" s="76" t="s">
        <v>445</v>
      </c>
      <c r="J880" s="76" t="s">
        <v>384</v>
      </c>
      <c r="K880" s="76" t="s">
        <v>2177</v>
      </c>
      <c r="L880" s="76" t="s">
        <v>405</v>
      </c>
      <c r="M880" s="76" t="s">
        <v>1450</v>
      </c>
      <c r="N880" s="76">
        <v>800</v>
      </c>
      <c r="O880" s="76">
        <v>736</v>
      </c>
      <c r="P880" s="78">
        <v>0.08</v>
      </c>
    </row>
    <row r="881" spans="7:16" x14ac:dyDescent="0.3">
      <c r="G881" t="s">
        <v>2178</v>
      </c>
      <c r="H881" s="76" t="s">
        <v>478</v>
      </c>
      <c r="I881" s="76" t="s">
        <v>479</v>
      </c>
      <c r="J881" s="76" t="s">
        <v>384</v>
      </c>
      <c r="K881" s="76" t="s">
        <v>1166</v>
      </c>
      <c r="L881" s="76" t="s">
        <v>411</v>
      </c>
      <c r="M881" s="76" t="s">
        <v>1527</v>
      </c>
      <c r="N881" s="76">
        <v>1000</v>
      </c>
      <c r="O881" s="76">
        <v>880</v>
      </c>
      <c r="P881" s="78">
        <v>0.12</v>
      </c>
    </row>
    <row r="882" spans="7:16" x14ac:dyDescent="0.3">
      <c r="G882" t="s">
        <v>2179</v>
      </c>
      <c r="H882" s="76" t="s">
        <v>438</v>
      </c>
      <c r="I882" s="76" t="s">
        <v>439</v>
      </c>
      <c r="J882" s="76" t="s">
        <v>360</v>
      </c>
      <c r="K882" s="76" t="s">
        <v>2180</v>
      </c>
      <c r="L882" s="76" t="s">
        <v>385</v>
      </c>
      <c r="M882" s="76" t="s">
        <v>1002</v>
      </c>
      <c r="N882" s="76">
        <v>50</v>
      </c>
      <c r="O882" s="76">
        <v>48</v>
      </c>
      <c r="P882" s="78">
        <v>0.04</v>
      </c>
    </row>
    <row r="883" spans="7:16" x14ac:dyDescent="0.3">
      <c r="G883" t="s">
        <v>2181</v>
      </c>
      <c r="H883" s="76" t="s">
        <v>615</v>
      </c>
      <c r="I883" s="76" t="s">
        <v>400</v>
      </c>
      <c r="J883" s="76" t="s">
        <v>372</v>
      </c>
      <c r="K883" s="76" t="s">
        <v>612</v>
      </c>
      <c r="L883" s="76" t="s">
        <v>483</v>
      </c>
      <c r="M883" s="76" t="s">
        <v>617</v>
      </c>
      <c r="N883" s="76">
        <v>50</v>
      </c>
      <c r="O883" s="76">
        <v>49</v>
      </c>
      <c r="P883" s="78">
        <v>0.02</v>
      </c>
    </row>
    <row r="884" spans="7:16" x14ac:dyDescent="0.3">
      <c r="G884" t="s">
        <v>2182</v>
      </c>
      <c r="H884" s="76" t="s">
        <v>394</v>
      </c>
      <c r="I884" s="76" t="s">
        <v>395</v>
      </c>
      <c r="J884" s="76" t="s">
        <v>372</v>
      </c>
      <c r="K884" s="77">
        <v>41855</v>
      </c>
      <c r="L884" s="76" t="s">
        <v>391</v>
      </c>
      <c r="M884" s="76" t="s">
        <v>744</v>
      </c>
      <c r="N884" s="76">
        <v>30</v>
      </c>
      <c r="O884" s="76">
        <v>27</v>
      </c>
      <c r="P884" s="78">
        <v>0.1</v>
      </c>
    </row>
    <row r="885" spans="7:16" x14ac:dyDescent="0.3">
      <c r="G885" t="s">
        <v>2183</v>
      </c>
      <c r="H885" s="76" t="s">
        <v>434</v>
      </c>
      <c r="I885" s="76" t="s">
        <v>435</v>
      </c>
      <c r="J885" s="76" t="s">
        <v>360</v>
      </c>
      <c r="K885" s="76" t="s">
        <v>2184</v>
      </c>
      <c r="L885" s="76" t="s">
        <v>411</v>
      </c>
      <c r="M885" s="76" t="s">
        <v>577</v>
      </c>
      <c r="N885" s="76">
        <v>1000</v>
      </c>
      <c r="O885" s="76">
        <v>850</v>
      </c>
      <c r="P885" s="78">
        <v>0.15</v>
      </c>
    </row>
    <row r="886" spans="7:16" x14ac:dyDescent="0.3">
      <c r="G886" t="s">
        <v>2185</v>
      </c>
      <c r="H886" s="76" t="s">
        <v>619</v>
      </c>
      <c r="I886" s="76" t="s">
        <v>620</v>
      </c>
      <c r="J886" s="76" t="s">
        <v>372</v>
      </c>
      <c r="K886" s="76" t="s">
        <v>812</v>
      </c>
      <c r="L886" s="76" t="s">
        <v>411</v>
      </c>
      <c r="M886" s="76" t="s">
        <v>2186</v>
      </c>
      <c r="N886" s="76">
        <v>1000</v>
      </c>
      <c r="O886" s="76">
        <v>560</v>
      </c>
      <c r="P886" s="78">
        <v>0.44</v>
      </c>
    </row>
    <row r="887" spans="7:16" x14ac:dyDescent="0.3">
      <c r="G887" t="s">
        <v>2187</v>
      </c>
      <c r="H887" s="76" t="s">
        <v>459</v>
      </c>
      <c r="I887" s="76" t="s">
        <v>422</v>
      </c>
      <c r="J887" s="76" t="s">
        <v>384</v>
      </c>
      <c r="K887" s="76" t="s">
        <v>1400</v>
      </c>
      <c r="L887" s="76" t="s">
        <v>391</v>
      </c>
      <c r="M887" s="76" t="s">
        <v>1120</v>
      </c>
      <c r="N887" s="76">
        <v>30</v>
      </c>
      <c r="O887" s="76">
        <v>25</v>
      </c>
      <c r="P887" s="78">
        <v>0.16669999999999999</v>
      </c>
    </row>
    <row r="888" spans="7:16" x14ac:dyDescent="0.3">
      <c r="G888" t="s">
        <v>2188</v>
      </c>
      <c r="H888" s="76" t="s">
        <v>444</v>
      </c>
      <c r="I888" s="76" t="s">
        <v>445</v>
      </c>
      <c r="J888" s="76" t="s">
        <v>384</v>
      </c>
      <c r="K888" s="76" t="s">
        <v>1756</v>
      </c>
      <c r="L888" s="76" t="s">
        <v>385</v>
      </c>
      <c r="M888" s="76" t="s">
        <v>2189</v>
      </c>
      <c r="N888" s="76">
        <v>50</v>
      </c>
      <c r="O888" s="76">
        <v>46</v>
      </c>
      <c r="P888" s="78">
        <v>0.08</v>
      </c>
    </row>
    <row r="889" spans="7:16" x14ac:dyDescent="0.3">
      <c r="G889" t="s">
        <v>2190</v>
      </c>
      <c r="H889" s="76" t="s">
        <v>615</v>
      </c>
      <c r="I889" s="76" t="s">
        <v>400</v>
      </c>
      <c r="J889" s="76" t="s">
        <v>372</v>
      </c>
      <c r="K889" s="77">
        <v>42036</v>
      </c>
      <c r="L889" s="76" t="s">
        <v>396</v>
      </c>
      <c r="M889" s="76" t="s">
        <v>2191</v>
      </c>
      <c r="N889" s="76">
        <v>500</v>
      </c>
      <c r="O889" s="76">
        <v>305</v>
      </c>
      <c r="P889" s="78">
        <v>0.39</v>
      </c>
    </row>
    <row r="890" spans="7:16" x14ac:dyDescent="0.3">
      <c r="G890" t="s">
        <v>2192</v>
      </c>
      <c r="H890" s="76" t="s">
        <v>675</v>
      </c>
      <c r="I890" s="76" t="s">
        <v>676</v>
      </c>
      <c r="J890" s="76" t="s">
        <v>384</v>
      </c>
      <c r="K890" s="77">
        <v>43376</v>
      </c>
      <c r="L890" s="76" t="s">
        <v>483</v>
      </c>
      <c r="M890" s="76" t="s">
        <v>678</v>
      </c>
      <c r="N890" s="76">
        <v>50</v>
      </c>
      <c r="O890" s="76">
        <v>48</v>
      </c>
      <c r="P890" s="78">
        <v>0.04</v>
      </c>
    </row>
    <row r="891" spans="7:16" x14ac:dyDescent="0.3">
      <c r="G891" t="s">
        <v>2193</v>
      </c>
      <c r="H891" s="76" t="s">
        <v>449</v>
      </c>
      <c r="I891" s="76" t="s">
        <v>450</v>
      </c>
      <c r="J891" s="76" t="s">
        <v>360</v>
      </c>
      <c r="K891" s="76" t="s">
        <v>1898</v>
      </c>
      <c r="L891" s="76" t="s">
        <v>396</v>
      </c>
      <c r="M891" s="76" t="s">
        <v>2194</v>
      </c>
      <c r="N891" s="76">
        <v>500</v>
      </c>
      <c r="O891" s="76">
        <v>435</v>
      </c>
      <c r="P891" s="78">
        <v>0.13</v>
      </c>
    </row>
    <row r="892" spans="7:16" x14ac:dyDescent="0.3">
      <c r="G892" t="s">
        <v>2195</v>
      </c>
      <c r="H892" s="76" t="s">
        <v>376</v>
      </c>
      <c r="I892" s="76" t="s">
        <v>377</v>
      </c>
      <c r="J892" s="76" t="s">
        <v>360</v>
      </c>
      <c r="K892" s="76" t="s">
        <v>2196</v>
      </c>
      <c r="L892" s="76" t="s">
        <v>424</v>
      </c>
      <c r="M892" s="76" t="s">
        <v>649</v>
      </c>
      <c r="N892" s="76">
        <v>500</v>
      </c>
      <c r="O892" s="76">
        <v>500</v>
      </c>
      <c r="P892" s="78">
        <v>0</v>
      </c>
    </row>
    <row r="893" spans="7:16" x14ac:dyDescent="0.3">
      <c r="G893" t="s">
        <v>2197</v>
      </c>
      <c r="H893" s="76" t="s">
        <v>524</v>
      </c>
      <c r="I893" s="76" t="s">
        <v>465</v>
      </c>
      <c r="J893" s="76" t="s">
        <v>366</v>
      </c>
      <c r="K893" s="76" t="s">
        <v>1073</v>
      </c>
      <c r="L893" s="76" t="s">
        <v>461</v>
      </c>
      <c r="M893" s="76" t="s">
        <v>2198</v>
      </c>
      <c r="N893" s="76">
        <v>70</v>
      </c>
      <c r="O893" s="76">
        <v>66</v>
      </c>
      <c r="P893" s="78">
        <v>5.7099999999999998E-2</v>
      </c>
    </row>
    <row r="894" spans="7:16" x14ac:dyDescent="0.3">
      <c r="G894" t="s">
        <v>2199</v>
      </c>
      <c r="H894" s="76" t="s">
        <v>382</v>
      </c>
      <c r="I894" s="76" t="s">
        <v>383</v>
      </c>
      <c r="J894" s="76" t="s">
        <v>384</v>
      </c>
      <c r="K894" s="77">
        <v>42982</v>
      </c>
      <c r="L894" s="76" t="s">
        <v>461</v>
      </c>
      <c r="M894" s="76" t="s">
        <v>533</v>
      </c>
      <c r="N894" s="76">
        <v>70</v>
      </c>
      <c r="O894" s="76">
        <v>70</v>
      </c>
      <c r="P894" s="78">
        <v>0</v>
      </c>
    </row>
    <row r="895" spans="7:16" x14ac:dyDescent="0.3">
      <c r="G895" t="s">
        <v>2200</v>
      </c>
      <c r="H895" s="76" t="s">
        <v>421</v>
      </c>
      <c r="I895" s="76" t="s">
        <v>422</v>
      </c>
      <c r="J895" s="76" t="s">
        <v>384</v>
      </c>
      <c r="K895" s="76" t="s">
        <v>2201</v>
      </c>
      <c r="L895" s="76" t="s">
        <v>361</v>
      </c>
      <c r="M895" s="76" t="s">
        <v>2202</v>
      </c>
      <c r="N895" s="76">
        <v>80</v>
      </c>
      <c r="O895" s="76">
        <v>79</v>
      </c>
      <c r="P895" s="78">
        <v>1.2500000000000001E-2</v>
      </c>
    </row>
    <row r="896" spans="7:16" x14ac:dyDescent="0.3">
      <c r="G896" t="s">
        <v>2203</v>
      </c>
      <c r="H896" s="76" t="s">
        <v>514</v>
      </c>
      <c r="I896" s="76" t="s">
        <v>515</v>
      </c>
      <c r="J896" s="76" t="s">
        <v>360</v>
      </c>
      <c r="K896" s="77">
        <v>42796</v>
      </c>
      <c r="L896" s="76" t="s">
        <v>391</v>
      </c>
      <c r="M896" s="76" t="s">
        <v>517</v>
      </c>
      <c r="N896" s="76">
        <v>30</v>
      </c>
      <c r="O896" s="76">
        <v>28</v>
      </c>
      <c r="P896" s="78">
        <v>6.6699999999999995E-2</v>
      </c>
    </row>
    <row r="897" spans="7:16" x14ac:dyDescent="0.3">
      <c r="G897" t="s">
        <v>2204</v>
      </c>
      <c r="H897" s="76" t="s">
        <v>514</v>
      </c>
      <c r="I897" s="76" t="s">
        <v>515</v>
      </c>
      <c r="J897" s="76" t="s">
        <v>360</v>
      </c>
      <c r="K897" s="76" t="s">
        <v>1993</v>
      </c>
      <c r="L897" s="76" t="s">
        <v>396</v>
      </c>
      <c r="M897" s="76" t="s">
        <v>1693</v>
      </c>
      <c r="N897" s="76">
        <v>500</v>
      </c>
      <c r="O897" s="76">
        <v>485</v>
      </c>
      <c r="P897" s="78">
        <v>0.03</v>
      </c>
    </row>
    <row r="898" spans="7:16" x14ac:dyDescent="0.3">
      <c r="G898" t="s">
        <v>2205</v>
      </c>
      <c r="H898" s="76" t="s">
        <v>638</v>
      </c>
      <c r="I898" s="76" t="s">
        <v>639</v>
      </c>
      <c r="J898" s="76" t="s">
        <v>360</v>
      </c>
      <c r="K898" s="76" t="s">
        <v>2127</v>
      </c>
      <c r="L898" s="76" t="s">
        <v>461</v>
      </c>
      <c r="M898" s="76" t="s">
        <v>1353</v>
      </c>
      <c r="N898" s="76">
        <v>70</v>
      </c>
      <c r="O898" s="76">
        <v>67</v>
      </c>
      <c r="P898" s="78">
        <v>4.2900000000000001E-2</v>
      </c>
    </row>
    <row r="899" spans="7:16" x14ac:dyDescent="0.3">
      <c r="G899" t="s">
        <v>2206</v>
      </c>
      <c r="H899" s="76" t="s">
        <v>566</v>
      </c>
      <c r="I899" s="76" t="s">
        <v>567</v>
      </c>
      <c r="J899" s="76" t="s">
        <v>360</v>
      </c>
      <c r="K899" s="77">
        <v>42983</v>
      </c>
      <c r="L899" s="76" t="s">
        <v>379</v>
      </c>
      <c r="M899" s="76" t="s">
        <v>569</v>
      </c>
      <c r="N899" s="76">
        <v>150</v>
      </c>
      <c r="O899" s="76">
        <v>143</v>
      </c>
      <c r="P899" s="78">
        <v>4.6699999999999998E-2</v>
      </c>
    </row>
    <row r="900" spans="7:16" x14ac:dyDescent="0.3">
      <c r="G900" t="s">
        <v>2207</v>
      </c>
      <c r="H900" s="76" t="s">
        <v>382</v>
      </c>
      <c r="I900" s="76" t="s">
        <v>383</v>
      </c>
      <c r="J900" s="76" t="s">
        <v>384</v>
      </c>
      <c r="K900" s="77">
        <v>42980</v>
      </c>
      <c r="L900" s="76" t="s">
        <v>411</v>
      </c>
      <c r="M900" s="76" t="s">
        <v>533</v>
      </c>
      <c r="N900" s="76">
        <v>1000</v>
      </c>
      <c r="O900" s="76">
        <v>570</v>
      </c>
      <c r="P900" s="78">
        <v>0.43</v>
      </c>
    </row>
    <row r="901" spans="7:16" x14ac:dyDescent="0.3">
      <c r="G901" t="s">
        <v>2208</v>
      </c>
      <c r="H901" s="76" t="s">
        <v>547</v>
      </c>
      <c r="I901" s="76" t="s">
        <v>548</v>
      </c>
      <c r="J901" s="76" t="s">
        <v>360</v>
      </c>
      <c r="K901" s="76" t="s">
        <v>998</v>
      </c>
      <c r="L901" s="76" t="s">
        <v>475</v>
      </c>
      <c r="M901" s="76" t="s">
        <v>2209</v>
      </c>
      <c r="N901" s="76">
        <v>250</v>
      </c>
      <c r="O901" s="76">
        <v>235</v>
      </c>
      <c r="P901" s="78">
        <v>0.06</v>
      </c>
    </row>
    <row r="902" spans="7:16" x14ac:dyDescent="0.3">
      <c r="G902" t="s">
        <v>2210</v>
      </c>
      <c r="H902" s="76" t="s">
        <v>668</v>
      </c>
      <c r="I902" s="76" t="s">
        <v>669</v>
      </c>
      <c r="J902" s="76" t="s">
        <v>360</v>
      </c>
      <c r="K902" s="76" t="s">
        <v>2211</v>
      </c>
      <c r="L902" s="76" t="s">
        <v>405</v>
      </c>
      <c r="M902" s="76" t="s">
        <v>1385</v>
      </c>
      <c r="N902" s="76">
        <v>800</v>
      </c>
      <c r="O902" s="76">
        <v>760</v>
      </c>
      <c r="P902" s="78">
        <v>0.05</v>
      </c>
    </row>
    <row r="903" spans="7:16" x14ac:dyDescent="0.3">
      <c r="G903" t="s">
        <v>2212</v>
      </c>
      <c r="H903" s="76" t="s">
        <v>469</v>
      </c>
      <c r="I903" s="76" t="s">
        <v>435</v>
      </c>
      <c r="J903" s="76" t="s">
        <v>360</v>
      </c>
      <c r="K903" s="77">
        <v>42311</v>
      </c>
      <c r="L903" s="76" t="s">
        <v>391</v>
      </c>
      <c r="M903" s="76" t="s">
        <v>2213</v>
      </c>
      <c r="N903" s="76">
        <v>30</v>
      </c>
      <c r="O903" s="76">
        <v>23</v>
      </c>
      <c r="P903" s="78">
        <v>0.23330000000000001</v>
      </c>
    </row>
    <row r="904" spans="7:16" x14ac:dyDescent="0.3">
      <c r="G904" t="s">
        <v>2214</v>
      </c>
      <c r="H904" s="76" t="s">
        <v>528</v>
      </c>
      <c r="I904" s="76" t="s">
        <v>465</v>
      </c>
      <c r="J904" s="76" t="s">
        <v>366</v>
      </c>
      <c r="K904" s="77">
        <v>43170</v>
      </c>
      <c r="L904" s="76" t="s">
        <v>391</v>
      </c>
      <c r="M904" s="76" t="s">
        <v>1545</v>
      </c>
      <c r="N904" s="76">
        <v>30</v>
      </c>
      <c r="O904" s="76">
        <v>26</v>
      </c>
      <c r="P904" s="78">
        <v>0.1333</v>
      </c>
    </row>
    <row r="905" spans="7:16" x14ac:dyDescent="0.3">
      <c r="G905" t="s">
        <v>2215</v>
      </c>
      <c r="H905" s="76" t="s">
        <v>388</v>
      </c>
      <c r="I905" s="76" t="s">
        <v>389</v>
      </c>
      <c r="J905" s="76" t="s">
        <v>384</v>
      </c>
      <c r="K905" s="77">
        <v>41916</v>
      </c>
      <c r="L905" s="76" t="s">
        <v>461</v>
      </c>
      <c r="M905" s="76" t="s">
        <v>2030</v>
      </c>
      <c r="N905" s="76">
        <v>70</v>
      </c>
      <c r="O905" s="76">
        <v>57</v>
      </c>
      <c r="P905" s="78">
        <v>0.1857</v>
      </c>
    </row>
    <row r="906" spans="7:16" x14ac:dyDescent="0.3">
      <c r="G906" t="s">
        <v>2216</v>
      </c>
      <c r="H906" s="76" t="s">
        <v>376</v>
      </c>
      <c r="I906" s="76" t="s">
        <v>377</v>
      </c>
      <c r="J906" s="76" t="s">
        <v>360</v>
      </c>
      <c r="K906" s="76" t="s">
        <v>1191</v>
      </c>
      <c r="L906" s="76" t="s">
        <v>405</v>
      </c>
      <c r="M906" s="76" t="s">
        <v>941</v>
      </c>
      <c r="N906" s="76">
        <v>800</v>
      </c>
      <c r="O906" s="76">
        <v>512</v>
      </c>
      <c r="P906" s="78">
        <v>0.36</v>
      </c>
    </row>
    <row r="907" spans="7:16" x14ac:dyDescent="0.3">
      <c r="G907" t="s">
        <v>2217</v>
      </c>
      <c r="H907" s="76" t="s">
        <v>382</v>
      </c>
      <c r="I907" s="76" t="s">
        <v>383</v>
      </c>
      <c r="J907" s="76" t="s">
        <v>384</v>
      </c>
      <c r="K907" s="76" t="s">
        <v>2218</v>
      </c>
      <c r="L907" s="76" t="s">
        <v>424</v>
      </c>
      <c r="M907" s="76" t="s">
        <v>1824</v>
      </c>
      <c r="N907" s="76">
        <v>500</v>
      </c>
      <c r="O907" s="76">
        <v>500</v>
      </c>
      <c r="P907" s="78">
        <v>0</v>
      </c>
    </row>
    <row r="908" spans="7:16" x14ac:dyDescent="0.3">
      <c r="G908" t="s">
        <v>2219</v>
      </c>
      <c r="H908" s="76" t="s">
        <v>560</v>
      </c>
      <c r="I908" s="76" t="s">
        <v>465</v>
      </c>
      <c r="J908" s="76" t="s">
        <v>366</v>
      </c>
      <c r="K908" s="76" t="s">
        <v>2220</v>
      </c>
      <c r="L908" s="76" t="s">
        <v>373</v>
      </c>
      <c r="M908" s="76" t="s">
        <v>1856</v>
      </c>
      <c r="N908" s="76">
        <v>700</v>
      </c>
      <c r="O908" s="76">
        <v>609</v>
      </c>
      <c r="P908" s="78">
        <v>0.13</v>
      </c>
    </row>
    <row r="909" spans="7:16" x14ac:dyDescent="0.3">
      <c r="G909" t="s">
        <v>2221</v>
      </c>
      <c r="H909" s="76" t="s">
        <v>656</v>
      </c>
      <c r="I909" s="76" t="s">
        <v>657</v>
      </c>
      <c r="J909" s="76" t="s">
        <v>360</v>
      </c>
      <c r="K909" s="77">
        <v>43202</v>
      </c>
      <c r="L909" s="76" t="s">
        <v>385</v>
      </c>
      <c r="M909" s="76" t="s">
        <v>2005</v>
      </c>
      <c r="N909" s="76">
        <v>50</v>
      </c>
      <c r="O909" s="76">
        <v>48</v>
      </c>
      <c r="P909" s="78">
        <v>0.04</v>
      </c>
    </row>
    <row r="910" spans="7:16" x14ac:dyDescent="0.3">
      <c r="G910" t="s">
        <v>2222</v>
      </c>
      <c r="H910" s="76" t="s">
        <v>560</v>
      </c>
      <c r="I910" s="76" t="s">
        <v>465</v>
      </c>
      <c r="J910" s="76" t="s">
        <v>366</v>
      </c>
      <c r="K910" s="77">
        <v>43221</v>
      </c>
      <c r="L910" s="76" t="s">
        <v>391</v>
      </c>
      <c r="M910" s="76" t="s">
        <v>2223</v>
      </c>
      <c r="N910" s="76">
        <v>30</v>
      </c>
      <c r="O910" s="76">
        <v>26</v>
      </c>
      <c r="P910" s="78">
        <v>0.1333</v>
      </c>
    </row>
    <row r="911" spans="7:16" x14ac:dyDescent="0.3">
      <c r="G911" t="s">
        <v>2224</v>
      </c>
      <c r="H911" s="76" t="s">
        <v>615</v>
      </c>
      <c r="I911" s="76" t="s">
        <v>400</v>
      </c>
      <c r="J911" s="76" t="s">
        <v>372</v>
      </c>
      <c r="K911" s="76" t="s">
        <v>2225</v>
      </c>
      <c r="L911" s="76" t="s">
        <v>424</v>
      </c>
      <c r="M911" s="76" t="s">
        <v>1699</v>
      </c>
      <c r="N911" s="76">
        <v>500</v>
      </c>
      <c r="O911" s="76">
        <v>500</v>
      </c>
      <c r="P911" s="78">
        <v>0</v>
      </c>
    </row>
    <row r="912" spans="7:16" x14ac:dyDescent="0.3">
      <c r="G912" t="s">
        <v>2226</v>
      </c>
      <c r="H912" s="76" t="s">
        <v>414</v>
      </c>
      <c r="I912" s="76" t="s">
        <v>415</v>
      </c>
      <c r="J912" s="76" t="s">
        <v>384</v>
      </c>
      <c r="K912" s="76" t="s">
        <v>2227</v>
      </c>
      <c r="L912" s="76" t="s">
        <v>405</v>
      </c>
      <c r="M912" s="76" t="s">
        <v>417</v>
      </c>
      <c r="N912" s="76">
        <v>800</v>
      </c>
      <c r="O912" s="76">
        <v>664</v>
      </c>
      <c r="P912" s="78">
        <v>0.17</v>
      </c>
    </row>
    <row r="913" spans="7:16" x14ac:dyDescent="0.3">
      <c r="G913" t="s">
        <v>2228</v>
      </c>
      <c r="H913" s="76" t="s">
        <v>747</v>
      </c>
      <c r="I913" s="76" t="s">
        <v>748</v>
      </c>
      <c r="J913" s="76" t="s">
        <v>360</v>
      </c>
      <c r="K913" s="77">
        <v>43406</v>
      </c>
      <c r="L913" s="76" t="s">
        <v>373</v>
      </c>
      <c r="M913" s="76" t="s">
        <v>917</v>
      </c>
      <c r="N913" s="76">
        <v>700</v>
      </c>
      <c r="O913" s="76">
        <v>679</v>
      </c>
      <c r="P913" s="78">
        <v>0.03</v>
      </c>
    </row>
    <row r="914" spans="7:16" x14ac:dyDescent="0.3">
      <c r="G914" t="s">
        <v>2229</v>
      </c>
      <c r="H914" s="76" t="s">
        <v>464</v>
      </c>
      <c r="I914" s="76" t="s">
        <v>465</v>
      </c>
      <c r="J914" s="76" t="s">
        <v>366</v>
      </c>
      <c r="K914" s="76" t="s">
        <v>1910</v>
      </c>
      <c r="L914" s="76" t="s">
        <v>475</v>
      </c>
      <c r="M914" s="76" t="s">
        <v>2230</v>
      </c>
      <c r="N914" s="76">
        <v>250</v>
      </c>
      <c r="O914" s="76">
        <v>198</v>
      </c>
      <c r="P914" s="78">
        <v>0.20799999999999999</v>
      </c>
    </row>
    <row r="915" spans="7:16" x14ac:dyDescent="0.3">
      <c r="G915" t="s">
        <v>2231</v>
      </c>
      <c r="H915" s="76" t="s">
        <v>619</v>
      </c>
      <c r="I915" s="76" t="s">
        <v>620</v>
      </c>
      <c r="J915" s="76" t="s">
        <v>372</v>
      </c>
      <c r="K915" s="76" t="s">
        <v>2232</v>
      </c>
      <c r="L915" s="76" t="s">
        <v>424</v>
      </c>
      <c r="M915" s="76" t="s">
        <v>896</v>
      </c>
      <c r="N915" s="76">
        <v>500</v>
      </c>
      <c r="O915" s="76">
        <v>500</v>
      </c>
      <c r="P915" s="78">
        <v>0</v>
      </c>
    </row>
    <row r="916" spans="7:16" x14ac:dyDescent="0.3">
      <c r="G916" t="s">
        <v>2233</v>
      </c>
      <c r="H916" s="76" t="s">
        <v>403</v>
      </c>
      <c r="I916" s="76" t="s">
        <v>404</v>
      </c>
      <c r="J916" s="76" t="s">
        <v>360</v>
      </c>
      <c r="K916" s="77">
        <v>41802</v>
      </c>
      <c r="L916" s="76" t="s">
        <v>424</v>
      </c>
      <c r="M916" s="76" t="s">
        <v>1403</v>
      </c>
      <c r="N916" s="76">
        <v>500</v>
      </c>
      <c r="O916" s="76">
        <v>500</v>
      </c>
      <c r="P916" s="78">
        <v>0</v>
      </c>
    </row>
    <row r="917" spans="7:16" x14ac:dyDescent="0.3">
      <c r="G917" t="s">
        <v>2234</v>
      </c>
      <c r="H917" s="76" t="s">
        <v>615</v>
      </c>
      <c r="I917" s="76" t="s">
        <v>400</v>
      </c>
      <c r="J917" s="76" t="s">
        <v>372</v>
      </c>
      <c r="K917" s="76" t="s">
        <v>1579</v>
      </c>
      <c r="L917" s="76" t="s">
        <v>396</v>
      </c>
      <c r="M917" s="76" t="s">
        <v>1347</v>
      </c>
      <c r="N917" s="76">
        <v>500</v>
      </c>
      <c r="O917" s="76">
        <v>450</v>
      </c>
      <c r="P917" s="78">
        <v>0.1</v>
      </c>
    </row>
    <row r="918" spans="7:16" x14ac:dyDescent="0.3">
      <c r="G918" t="s">
        <v>2235</v>
      </c>
      <c r="H918" s="76" t="s">
        <v>514</v>
      </c>
      <c r="I918" s="76" t="s">
        <v>515</v>
      </c>
      <c r="J918" s="76" t="s">
        <v>360</v>
      </c>
      <c r="K918" s="77">
        <v>42798</v>
      </c>
      <c r="L918" s="76" t="s">
        <v>391</v>
      </c>
      <c r="M918" s="76" t="s">
        <v>517</v>
      </c>
      <c r="N918" s="76">
        <v>30</v>
      </c>
      <c r="O918" s="76">
        <v>29</v>
      </c>
      <c r="P918" s="78">
        <v>3.3300000000000003E-2</v>
      </c>
    </row>
    <row r="919" spans="7:16" x14ac:dyDescent="0.3">
      <c r="G919" t="s">
        <v>2236</v>
      </c>
      <c r="H919" s="76" t="s">
        <v>524</v>
      </c>
      <c r="I919" s="76" t="s">
        <v>465</v>
      </c>
      <c r="J919" s="76" t="s">
        <v>366</v>
      </c>
      <c r="K919" s="76" t="s">
        <v>2237</v>
      </c>
      <c r="L919" s="76" t="s">
        <v>424</v>
      </c>
      <c r="M919" s="76" t="s">
        <v>526</v>
      </c>
      <c r="N919" s="76">
        <v>500</v>
      </c>
      <c r="O919" s="76">
        <v>500</v>
      </c>
      <c r="P919" s="78">
        <v>0</v>
      </c>
    </row>
    <row r="920" spans="7:16" x14ac:dyDescent="0.3">
      <c r="G920" t="s">
        <v>2238</v>
      </c>
      <c r="H920" s="76" t="s">
        <v>409</v>
      </c>
      <c r="I920" s="76" t="s">
        <v>410</v>
      </c>
      <c r="J920" s="76" t="s">
        <v>360</v>
      </c>
      <c r="K920" s="76" t="s">
        <v>2239</v>
      </c>
      <c r="L920" s="76" t="s">
        <v>475</v>
      </c>
      <c r="M920" s="76" t="s">
        <v>1134</v>
      </c>
      <c r="N920" s="76">
        <v>250</v>
      </c>
      <c r="O920" s="76">
        <v>225</v>
      </c>
      <c r="P920" s="78">
        <v>0.1</v>
      </c>
    </row>
    <row r="921" spans="7:16" x14ac:dyDescent="0.3">
      <c r="G921" t="s">
        <v>2240</v>
      </c>
      <c r="H921" s="76" t="s">
        <v>358</v>
      </c>
      <c r="I921" s="76" t="s">
        <v>359</v>
      </c>
      <c r="J921" s="76" t="s">
        <v>360</v>
      </c>
      <c r="K921" s="76" t="s">
        <v>2241</v>
      </c>
      <c r="L921" s="76" t="s">
        <v>361</v>
      </c>
      <c r="M921" s="76" t="s">
        <v>501</v>
      </c>
      <c r="N921" s="76">
        <v>80</v>
      </c>
      <c r="O921" s="76">
        <v>78</v>
      </c>
      <c r="P921" s="78">
        <v>2.5000000000000001E-2</v>
      </c>
    </row>
    <row r="922" spans="7:16" x14ac:dyDescent="0.3">
      <c r="G922" t="s">
        <v>2242</v>
      </c>
      <c r="H922" s="76" t="s">
        <v>376</v>
      </c>
      <c r="I922" s="76" t="s">
        <v>377</v>
      </c>
      <c r="J922" s="76" t="s">
        <v>360</v>
      </c>
      <c r="K922" s="76" t="s">
        <v>751</v>
      </c>
      <c r="L922" s="76" t="s">
        <v>483</v>
      </c>
      <c r="M922" s="76" t="s">
        <v>380</v>
      </c>
      <c r="N922" s="76">
        <v>50</v>
      </c>
      <c r="O922" s="76">
        <v>32</v>
      </c>
      <c r="P922" s="78">
        <v>0.36</v>
      </c>
    </row>
    <row r="923" spans="7:16" x14ac:dyDescent="0.3">
      <c r="G923" t="s">
        <v>2243</v>
      </c>
      <c r="H923" s="76" t="s">
        <v>845</v>
      </c>
      <c r="I923" s="76" t="s">
        <v>846</v>
      </c>
      <c r="J923" s="76" t="s">
        <v>360</v>
      </c>
      <c r="K923" s="77">
        <v>41682</v>
      </c>
      <c r="L923" s="76" t="s">
        <v>483</v>
      </c>
      <c r="M923" s="76" t="s">
        <v>963</v>
      </c>
      <c r="N923" s="76">
        <v>50</v>
      </c>
      <c r="O923" s="76">
        <v>41</v>
      </c>
      <c r="P923" s="78">
        <v>0.18</v>
      </c>
    </row>
    <row r="924" spans="7:16" x14ac:dyDescent="0.3">
      <c r="G924" t="s">
        <v>2244</v>
      </c>
      <c r="H924" s="76" t="s">
        <v>370</v>
      </c>
      <c r="I924" s="76" t="s">
        <v>371</v>
      </c>
      <c r="J924" s="76" t="s">
        <v>372</v>
      </c>
      <c r="K924" s="76" t="s">
        <v>2245</v>
      </c>
      <c r="L924" s="76" t="s">
        <v>461</v>
      </c>
      <c r="M924" s="76" t="s">
        <v>958</v>
      </c>
      <c r="N924" s="76">
        <v>70</v>
      </c>
      <c r="O924" s="76">
        <v>60</v>
      </c>
      <c r="P924" s="78">
        <v>0.1429</v>
      </c>
    </row>
    <row r="925" spans="7:16" x14ac:dyDescent="0.3">
      <c r="G925" t="s">
        <v>2246</v>
      </c>
      <c r="H925" s="76" t="s">
        <v>444</v>
      </c>
      <c r="I925" s="76" t="s">
        <v>445</v>
      </c>
      <c r="J925" s="76" t="s">
        <v>384</v>
      </c>
      <c r="K925" s="77">
        <v>41977</v>
      </c>
      <c r="L925" s="76" t="s">
        <v>461</v>
      </c>
      <c r="M925" s="76" t="s">
        <v>1564</v>
      </c>
      <c r="N925" s="76">
        <v>70</v>
      </c>
      <c r="O925" s="76">
        <v>69</v>
      </c>
      <c r="P925" s="78">
        <v>1.43E-2</v>
      </c>
    </row>
    <row r="926" spans="7:16" x14ac:dyDescent="0.3">
      <c r="G926" t="s">
        <v>2247</v>
      </c>
      <c r="H926" s="76" t="s">
        <v>403</v>
      </c>
      <c r="I926" s="76" t="s">
        <v>404</v>
      </c>
      <c r="J926" s="76" t="s">
        <v>360</v>
      </c>
      <c r="K926" s="77">
        <v>43319</v>
      </c>
      <c r="L926" s="76" t="s">
        <v>396</v>
      </c>
      <c r="M926" s="76" t="s">
        <v>1403</v>
      </c>
      <c r="N926" s="76">
        <v>500</v>
      </c>
      <c r="O926" s="76">
        <v>490</v>
      </c>
      <c r="P926" s="78">
        <v>0.02</v>
      </c>
    </row>
    <row r="927" spans="7:16" x14ac:dyDescent="0.3">
      <c r="G927" t="s">
        <v>2248</v>
      </c>
      <c r="H927" s="76" t="s">
        <v>444</v>
      </c>
      <c r="I927" s="76" t="s">
        <v>445</v>
      </c>
      <c r="J927" s="76" t="s">
        <v>384</v>
      </c>
      <c r="K927" s="77">
        <v>43133</v>
      </c>
      <c r="L927" s="76" t="s">
        <v>461</v>
      </c>
      <c r="M927" s="76" t="s">
        <v>447</v>
      </c>
      <c r="N927" s="76">
        <v>70</v>
      </c>
      <c r="O927" s="76">
        <v>69</v>
      </c>
      <c r="P927" s="78">
        <v>1.43E-2</v>
      </c>
    </row>
    <row r="928" spans="7:16" x14ac:dyDescent="0.3">
      <c r="G928" t="s">
        <v>2249</v>
      </c>
      <c r="H928" s="76" t="s">
        <v>454</v>
      </c>
      <c r="I928" s="76" t="s">
        <v>455</v>
      </c>
      <c r="J928" s="76" t="s">
        <v>360</v>
      </c>
      <c r="K928" s="77">
        <v>43350</v>
      </c>
      <c r="L928" s="76" t="s">
        <v>411</v>
      </c>
      <c r="M928" s="76" t="s">
        <v>457</v>
      </c>
      <c r="N928" s="76">
        <v>1000</v>
      </c>
      <c r="O928" s="76">
        <v>640</v>
      </c>
      <c r="P928" s="78">
        <v>0.36</v>
      </c>
    </row>
    <row r="929" spans="7:16" x14ac:dyDescent="0.3">
      <c r="G929" t="s">
        <v>2250</v>
      </c>
      <c r="H929" s="76" t="s">
        <v>414</v>
      </c>
      <c r="I929" s="76" t="s">
        <v>415</v>
      </c>
      <c r="J929" s="76" t="s">
        <v>384</v>
      </c>
      <c r="K929" s="76" t="s">
        <v>701</v>
      </c>
      <c r="L929" s="76" t="s">
        <v>411</v>
      </c>
      <c r="M929" s="76" t="s">
        <v>688</v>
      </c>
      <c r="N929" s="76">
        <v>1000</v>
      </c>
      <c r="O929" s="76">
        <v>1000</v>
      </c>
      <c r="P929" s="78">
        <v>0</v>
      </c>
    </row>
    <row r="930" spans="7:16" x14ac:dyDescent="0.3">
      <c r="G930" t="s">
        <v>2251</v>
      </c>
      <c r="H930" s="76" t="s">
        <v>638</v>
      </c>
      <c r="I930" s="76" t="s">
        <v>639</v>
      </c>
      <c r="J930" s="76" t="s">
        <v>360</v>
      </c>
      <c r="K930" s="77">
        <v>43139</v>
      </c>
      <c r="L930" s="76" t="s">
        <v>361</v>
      </c>
      <c r="M930" s="76" t="s">
        <v>1851</v>
      </c>
      <c r="N930" s="76">
        <v>80</v>
      </c>
      <c r="O930" s="76">
        <v>70</v>
      </c>
      <c r="P930" s="78">
        <v>0.125</v>
      </c>
    </row>
    <row r="931" spans="7:16" x14ac:dyDescent="0.3">
      <c r="G931" t="s">
        <v>2252</v>
      </c>
      <c r="H931" s="76" t="s">
        <v>394</v>
      </c>
      <c r="I931" s="76" t="s">
        <v>395</v>
      </c>
      <c r="J931" s="76" t="s">
        <v>372</v>
      </c>
      <c r="K931" s="76" t="s">
        <v>2253</v>
      </c>
      <c r="L931" s="76" t="s">
        <v>379</v>
      </c>
      <c r="M931" s="76" t="s">
        <v>1843</v>
      </c>
      <c r="N931" s="76">
        <v>150</v>
      </c>
      <c r="O931" s="76">
        <v>135</v>
      </c>
      <c r="P931" s="78">
        <v>0.1</v>
      </c>
    </row>
    <row r="932" spans="7:16" x14ac:dyDescent="0.3">
      <c r="G932" t="s">
        <v>2254</v>
      </c>
      <c r="H932" s="76" t="s">
        <v>551</v>
      </c>
      <c r="I932" s="76" t="s">
        <v>552</v>
      </c>
      <c r="J932" s="76" t="s">
        <v>360</v>
      </c>
      <c r="K932" s="77">
        <v>43108</v>
      </c>
      <c r="L932" s="76" t="s">
        <v>373</v>
      </c>
      <c r="M932" s="76" t="s">
        <v>2255</v>
      </c>
      <c r="N932" s="76">
        <v>700</v>
      </c>
      <c r="O932" s="76">
        <v>623</v>
      </c>
      <c r="P932" s="78">
        <v>0.11</v>
      </c>
    </row>
    <row r="933" spans="7:16" x14ac:dyDescent="0.3">
      <c r="G933" t="s">
        <v>2256</v>
      </c>
      <c r="H933" s="76" t="s">
        <v>438</v>
      </c>
      <c r="I933" s="76" t="s">
        <v>439</v>
      </c>
      <c r="J933" s="76" t="s">
        <v>360</v>
      </c>
      <c r="K933" s="76" t="s">
        <v>2257</v>
      </c>
      <c r="L933" s="76" t="s">
        <v>475</v>
      </c>
      <c r="M933" s="76" t="s">
        <v>2258</v>
      </c>
      <c r="N933" s="76">
        <v>250</v>
      </c>
      <c r="O933" s="76">
        <v>245</v>
      </c>
      <c r="P933" s="78">
        <v>0.02</v>
      </c>
    </row>
    <row r="934" spans="7:16" x14ac:dyDescent="0.3">
      <c r="G934" t="s">
        <v>2259</v>
      </c>
      <c r="H934" s="76" t="s">
        <v>668</v>
      </c>
      <c r="I934" s="76" t="s">
        <v>669</v>
      </c>
      <c r="J934" s="76" t="s">
        <v>360</v>
      </c>
      <c r="K934" s="76" t="s">
        <v>1717</v>
      </c>
      <c r="L934" s="76" t="s">
        <v>396</v>
      </c>
      <c r="M934" s="76" t="s">
        <v>736</v>
      </c>
      <c r="N934" s="76">
        <v>500</v>
      </c>
      <c r="O934" s="76">
        <v>500</v>
      </c>
      <c r="P934" s="78">
        <v>0</v>
      </c>
    </row>
    <row r="935" spans="7:16" x14ac:dyDescent="0.3">
      <c r="G935" t="s">
        <v>2260</v>
      </c>
      <c r="H935" s="76" t="s">
        <v>514</v>
      </c>
      <c r="I935" s="76" t="s">
        <v>515</v>
      </c>
      <c r="J935" s="76" t="s">
        <v>360</v>
      </c>
      <c r="K935" s="76" t="s">
        <v>2152</v>
      </c>
      <c r="L935" s="76" t="s">
        <v>373</v>
      </c>
      <c r="M935" s="76" t="s">
        <v>1424</v>
      </c>
      <c r="N935" s="76">
        <v>700</v>
      </c>
      <c r="O935" s="76">
        <v>700</v>
      </c>
      <c r="P935" s="78">
        <v>0</v>
      </c>
    </row>
    <row r="936" spans="7:16" x14ac:dyDescent="0.3">
      <c r="G936" t="s">
        <v>2261</v>
      </c>
      <c r="H936" s="76" t="s">
        <v>454</v>
      </c>
      <c r="I936" s="76" t="s">
        <v>455</v>
      </c>
      <c r="J936" s="76" t="s">
        <v>360</v>
      </c>
      <c r="K936" s="76" t="s">
        <v>2262</v>
      </c>
      <c r="L936" s="76" t="s">
        <v>396</v>
      </c>
      <c r="M936" s="76" t="s">
        <v>1109</v>
      </c>
      <c r="N936" s="76">
        <v>500</v>
      </c>
      <c r="O936" s="76">
        <v>480</v>
      </c>
      <c r="P936" s="78">
        <v>0.04</v>
      </c>
    </row>
    <row r="937" spans="7:16" x14ac:dyDescent="0.3">
      <c r="G937" t="s">
        <v>2263</v>
      </c>
      <c r="H937" s="76" t="s">
        <v>454</v>
      </c>
      <c r="I937" s="76" t="s">
        <v>455</v>
      </c>
      <c r="J937" s="76" t="s">
        <v>360</v>
      </c>
      <c r="K937" s="77">
        <v>43345</v>
      </c>
      <c r="L937" s="76" t="s">
        <v>475</v>
      </c>
      <c r="M937" s="76" t="s">
        <v>1772</v>
      </c>
      <c r="N937" s="76">
        <v>250</v>
      </c>
      <c r="O937" s="76">
        <v>243</v>
      </c>
      <c r="P937" s="78">
        <v>2.8000000000000001E-2</v>
      </c>
    </row>
    <row r="938" spans="7:16" x14ac:dyDescent="0.3">
      <c r="G938" t="s">
        <v>2264</v>
      </c>
      <c r="H938" s="76" t="s">
        <v>399</v>
      </c>
      <c r="I938" s="76" t="s">
        <v>400</v>
      </c>
      <c r="J938" s="76" t="s">
        <v>372</v>
      </c>
      <c r="K938" s="76" t="s">
        <v>599</v>
      </c>
      <c r="L938" s="76" t="s">
        <v>411</v>
      </c>
      <c r="M938" s="76" t="s">
        <v>1249</v>
      </c>
      <c r="N938" s="76">
        <v>1000</v>
      </c>
      <c r="O938" s="76">
        <v>950</v>
      </c>
      <c r="P938" s="78">
        <v>0.05</v>
      </c>
    </row>
    <row r="939" spans="7:16" x14ac:dyDescent="0.3">
      <c r="G939" t="s">
        <v>2265</v>
      </c>
      <c r="H939" s="76" t="s">
        <v>469</v>
      </c>
      <c r="I939" s="76" t="s">
        <v>435</v>
      </c>
      <c r="J939" s="76" t="s">
        <v>360</v>
      </c>
      <c r="K939" s="77">
        <v>42858</v>
      </c>
      <c r="L939" s="76" t="s">
        <v>483</v>
      </c>
      <c r="M939" s="76" t="s">
        <v>1411</v>
      </c>
      <c r="N939" s="76">
        <v>50</v>
      </c>
      <c r="O939" s="76">
        <v>47</v>
      </c>
      <c r="P939" s="78">
        <v>0.06</v>
      </c>
    </row>
    <row r="940" spans="7:16" x14ac:dyDescent="0.3">
      <c r="G940" t="s">
        <v>2266</v>
      </c>
      <c r="H940" s="76" t="s">
        <v>524</v>
      </c>
      <c r="I940" s="76" t="s">
        <v>465</v>
      </c>
      <c r="J940" s="76" t="s">
        <v>366</v>
      </c>
      <c r="K940" s="76" t="s">
        <v>2267</v>
      </c>
      <c r="L940" s="76" t="s">
        <v>391</v>
      </c>
      <c r="M940" s="76" t="s">
        <v>784</v>
      </c>
      <c r="N940" s="76">
        <v>30</v>
      </c>
      <c r="O940" s="76">
        <v>27</v>
      </c>
      <c r="P940" s="78">
        <v>0.1</v>
      </c>
    </row>
    <row r="941" spans="7:16" x14ac:dyDescent="0.3">
      <c r="G941" t="s">
        <v>2268</v>
      </c>
      <c r="H941" s="76" t="s">
        <v>638</v>
      </c>
      <c r="I941" s="76" t="s">
        <v>639</v>
      </c>
      <c r="J941" s="76" t="s">
        <v>360</v>
      </c>
      <c r="K941" s="76" t="s">
        <v>1222</v>
      </c>
      <c r="L941" s="76" t="s">
        <v>391</v>
      </c>
      <c r="M941" s="76" t="s">
        <v>880</v>
      </c>
      <c r="N941" s="76">
        <v>30</v>
      </c>
      <c r="O941" s="76">
        <v>29</v>
      </c>
      <c r="P941" s="78">
        <v>3.3300000000000003E-2</v>
      </c>
    </row>
    <row r="942" spans="7:16" x14ac:dyDescent="0.3">
      <c r="G942" t="s">
        <v>2269</v>
      </c>
      <c r="H942" s="76" t="s">
        <v>747</v>
      </c>
      <c r="I942" s="76" t="s">
        <v>748</v>
      </c>
      <c r="J942" s="76" t="s">
        <v>360</v>
      </c>
      <c r="K942" s="76" t="s">
        <v>2270</v>
      </c>
      <c r="L942" s="76" t="s">
        <v>361</v>
      </c>
      <c r="M942" s="76" t="s">
        <v>2271</v>
      </c>
      <c r="N942" s="76">
        <v>80</v>
      </c>
      <c r="O942" s="76">
        <v>76</v>
      </c>
      <c r="P942" s="78">
        <v>0.05</v>
      </c>
    </row>
    <row r="943" spans="7:16" x14ac:dyDescent="0.3">
      <c r="G943" t="s">
        <v>2272</v>
      </c>
      <c r="H943" s="76" t="s">
        <v>747</v>
      </c>
      <c r="I943" s="76" t="s">
        <v>748</v>
      </c>
      <c r="J943" s="76" t="s">
        <v>360</v>
      </c>
      <c r="K943" s="77">
        <v>43221</v>
      </c>
      <c r="L943" s="76" t="s">
        <v>461</v>
      </c>
      <c r="M943" s="76" t="s">
        <v>1662</v>
      </c>
      <c r="N943" s="76">
        <v>70</v>
      </c>
      <c r="O943" s="76">
        <v>69</v>
      </c>
      <c r="P943" s="78">
        <v>1.43E-2</v>
      </c>
    </row>
    <row r="944" spans="7:16" x14ac:dyDescent="0.3">
      <c r="G944" t="s">
        <v>2273</v>
      </c>
      <c r="H944" s="76" t="s">
        <v>464</v>
      </c>
      <c r="I944" s="76" t="s">
        <v>465</v>
      </c>
      <c r="J944" s="76" t="s">
        <v>366</v>
      </c>
      <c r="K944" s="76" t="s">
        <v>1731</v>
      </c>
      <c r="L944" s="76" t="s">
        <v>361</v>
      </c>
      <c r="M944" s="76" t="s">
        <v>1510</v>
      </c>
      <c r="N944" s="76">
        <v>80</v>
      </c>
      <c r="O944" s="76">
        <v>76</v>
      </c>
      <c r="P944" s="78">
        <v>0.05</v>
      </c>
    </row>
    <row r="945" spans="7:16" x14ac:dyDescent="0.3">
      <c r="G945" t="s">
        <v>2274</v>
      </c>
      <c r="H945" s="76" t="s">
        <v>434</v>
      </c>
      <c r="I945" s="76" t="s">
        <v>435</v>
      </c>
      <c r="J945" s="76" t="s">
        <v>360</v>
      </c>
      <c r="K945" s="76" t="s">
        <v>1926</v>
      </c>
      <c r="L945" s="76" t="s">
        <v>396</v>
      </c>
      <c r="M945" s="76" t="s">
        <v>691</v>
      </c>
      <c r="N945" s="76">
        <v>500</v>
      </c>
      <c r="O945" s="76">
        <v>430</v>
      </c>
      <c r="P945" s="78">
        <v>0.14000000000000001</v>
      </c>
    </row>
    <row r="946" spans="7:16" x14ac:dyDescent="0.3">
      <c r="G946" t="s">
        <v>2275</v>
      </c>
      <c r="H946" s="76" t="s">
        <v>454</v>
      </c>
      <c r="I946" s="76" t="s">
        <v>455</v>
      </c>
      <c r="J946" s="76" t="s">
        <v>360</v>
      </c>
      <c r="K946" s="76" t="s">
        <v>2276</v>
      </c>
      <c r="L946" s="76" t="s">
        <v>391</v>
      </c>
      <c r="M946" s="76" t="s">
        <v>1529</v>
      </c>
      <c r="N946" s="76">
        <v>30</v>
      </c>
      <c r="O946" s="76">
        <v>28</v>
      </c>
      <c r="P946" s="78">
        <v>6.6699999999999995E-2</v>
      </c>
    </row>
    <row r="947" spans="7:16" x14ac:dyDescent="0.3">
      <c r="G947" t="s">
        <v>2277</v>
      </c>
      <c r="H947" s="76" t="s">
        <v>497</v>
      </c>
      <c r="I947" s="76" t="s">
        <v>445</v>
      </c>
      <c r="J947" s="76" t="s">
        <v>384</v>
      </c>
      <c r="K947" s="76" t="s">
        <v>2278</v>
      </c>
      <c r="L947" s="76" t="s">
        <v>385</v>
      </c>
      <c r="M947" s="76" t="s">
        <v>1675</v>
      </c>
      <c r="N947" s="76">
        <v>50</v>
      </c>
      <c r="O947" s="76">
        <v>45</v>
      </c>
      <c r="P947" s="78">
        <v>0.1</v>
      </c>
    </row>
    <row r="948" spans="7:16" x14ac:dyDescent="0.3">
      <c r="G948" t="s">
        <v>2279</v>
      </c>
      <c r="H948" s="76" t="s">
        <v>497</v>
      </c>
      <c r="I948" s="76" t="s">
        <v>445</v>
      </c>
      <c r="J948" s="76" t="s">
        <v>384</v>
      </c>
      <c r="K948" s="76" t="s">
        <v>2280</v>
      </c>
      <c r="L948" s="76" t="s">
        <v>461</v>
      </c>
      <c r="M948" s="76" t="s">
        <v>2281</v>
      </c>
      <c r="N948" s="76">
        <v>70</v>
      </c>
      <c r="O948" s="76">
        <v>57</v>
      </c>
      <c r="P948" s="78">
        <v>0.1857</v>
      </c>
    </row>
    <row r="949" spans="7:16" x14ac:dyDescent="0.3">
      <c r="G949" t="s">
        <v>2282</v>
      </c>
      <c r="H949" s="76" t="s">
        <v>619</v>
      </c>
      <c r="I949" s="76" t="s">
        <v>620</v>
      </c>
      <c r="J949" s="76" t="s">
        <v>372</v>
      </c>
      <c r="K949" s="76" t="s">
        <v>1636</v>
      </c>
      <c r="L949" s="76" t="s">
        <v>411</v>
      </c>
      <c r="M949" s="76" t="s">
        <v>1476</v>
      </c>
      <c r="N949" s="76">
        <v>1000</v>
      </c>
      <c r="O949" s="76">
        <v>730</v>
      </c>
      <c r="P949" s="78">
        <v>0.27</v>
      </c>
    </row>
    <row r="950" spans="7:16" x14ac:dyDescent="0.3">
      <c r="G950" t="s">
        <v>2283</v>
      </c>
      <c r="H950" s="76" t="s">
        <v>591</v>
      </c>
      <c r="I950" s="76" t="s">
        <v>592</v>
      </c>
      <c r="J950" s="76" t="s">
        <v>372</v>
      </c>
      <c r="K950" s="76" t="s">
        <v>2284</v>
      </c>
      <c r="L950" s="76" t="s">
        <v>411</v>
      </c>
      <c r="M950" s="76" t="s">
        <v>2285</v>
      </c>
      <c r="N950" s="76">
        <v>1000</v>
      </c>
      <c r="O950" s="76">
        <v>710</v>
      </c>
      <c r="P950" s="78">
        <v>0.28999999999999998</v>
      </c>
    </row>
    <row r="951" spans="7:16" x14ac:dyDescent="0.3">
      <c r="G951" t="s">
        <v>2286</v>
      </c>
      <c r="H951" s="76" t="s">
        <v>403</v>
      </c>
      <c r="I951" s="76" t="s">
        <v>404</v>
      </c>
      <c r="J951" s="76" t="s">
        <v>360</v>
      </c>
      <c r="K951" s="77">
        <v>42743</v>
      </c>
      <c r="L951" s="76" t="s">
        <v>396</v>
      </c>
      <c r="M951" s="76" t="s">
        <v>851</v>
      </c>
      <c r="N951" s="76">
        <v>500</v>
      </c>
      <c r="O951" s="76">
        <v>500</v>
      </c>
      <c r="P951" s="78">
        <v>0</v>
      </c>
    </row>
    <row r="952" spans="7:16" x14ac:dyDescent="0.3">
      <c r="G952" t="s">
        <v>2287</v>
      </c>
      <c r="H952" s="76" t="s">
        <v>591</v>
      </c>
      <c r="I952" s="76" t="s">
        <v>592</v>
      </c>
      <c r="J952" s="76" t="s">
        <v>372</v>
      </c>
      <c r="K952" s="76" t="s">
        <v>2288</v>
      </c>
      <c r="L952" s="76" t="s">
        <v>373</v>
      </c>
      <c r="M952" s="76" t="s">
        <v>652</v>
      </c>
      <c r="N952" s="76">
        <v>700</v>
      </c>
      <c r="O952" s="76">
        <v>693</v>
      </c>
      <c r="P952" s="78">
        <v>0.01</v>
      </c>
    </row>
    <row r="953" spans="7:16" x14ac:dyDescent="0.3">
      <c r="G953" t="s">
        <v>2289</v>
      </c>
      <c r="H953" s="76" t="s">
        <v>528</v>
      </c>
      <c r="I953" s="76" t="s">
        <v>465</v>
      </c>
      <c r="J953" s="76" t="s">
        <v>366</v>
      </c>
      <c r="K953" s="76" t="s">
        <v>2290</v>
      </c>
      <c r="L953" s="76" t="s">
        <v>361</v>
      </c>
      <c r="M953" s="76" t="s">
        <v>723</v>
      </c>
      <c r="N953" s="76">
        <v>80</v>
      </c>
      <c r="O953" s="76">
        <v>56</v>
      </c>
      <c r="P953" s="78">
        <v>0.3</v>
      </c>
    </row>
    <row r="954" spans="7:16" x14ac:dyDescent="0.3">
      <c r="G954" t="s">
        <v>2291</v>
      </c>
      <c r="H954" s="76" t="s">
        <v>485</v>
      </c>
      <c r="I954" s="76" t="s">
        <v>389</v>
      </c>
      <c r="J954" s="76" t="s">
        <v>384</v>
      </c>
      <c r="K954" s="76" t="s">
        <v>585</v>
      </c>
      <c r="L954" s="76" t="s">
        <v>391</v>
      </c>
      <c r="M954" s="76" t="s">
        <v>1608</v>
      </c>
      <c r="N954" s="76">
        <v>30</v>
      </c>
      <c r="O954" s="76">
        <v>27</v>
      </c>
      <c r="P954" s="78">
        <v>0.1</v>
      </c>
    </row>
    <row r="955" spans="7:16" x14ac:dyDescent="0.3">
      <c r="G955" t="s">
        <v>2292</v>
      </c>
      <c r="H955" s="76" t="s">
        <v>615</v>
      </c>
      <c r="I955" s="76" t="s">
        <v>400</v>
      </c>
      <c r="J955" s="76" t="s">
        <v>372</v>
      </c>
      <c r="K955" s="76" t="s">
        <v>2293</v>
      </c>
      <c r="L955" s="76" t="s">
        <v>461</v>
      </c>
      <c r="M955" s="76" t="s">
        <v>864</v>
      </c>
      <c r="N955" s="76">
        <v>70</v>
      </c>
      <c r="O955" s="76">
        <v>67</v>
      </c>
      <c r="P955" s="78">
        <v>4.2900000000000001E-2</v>
      </c>
    </row>
    <row r="956" spans="7:16" x14ac:dyDescent="0.3">
      <c r="G956" t="s">
        <v>2294</v>
      </c>
      <c r="H956" s="76" t="s">
        <v>528</v>
      </c>
      <c r="I956" s="76" t="s">
        <v>465</v>
      </c>
      <c r="J956" s="76" t="s">
        <v>366</v>
      </c>
      <c r="K956" s="76" t="s">
        <v>720</v>
      </c>
      <c r="L956" s="76" t="s">
        <v>483</v>
      </c>
      <c r="M956" s="76" t="s">
        <v>2032</v>
      </c>
      <c r="N956" s="76">
        <v>50</v>
      </c>
      <c r="O956" s="76">
        <v>33</v>
      </c>
      <c r="P956" s="78">
        <v>0.34</v>
      </c>
    </row>
    <row r="957" spans="7:16" x14ac:dyDescent="0.3">
      <c r="G957" t="s">
        <v>2295</v>
      </c>
      <c r="H957" s="76" t="s">
        <v>675</v>
      </c>
      <c r="I957" s="76" t="s">
        <v>676</v>
      </c>
      <c r="J957" s="76" t="s">
        <v>384</v>
      </c>
      <c r="K957" s="76" t="s">
        <v>1870</v>
      </c>
      <c r="L957" s="76" t="s">
        <v>361</v>
      </c>
      <c r="M957" s="76" t="s">
        <v>1268</v>
      </c>
      <c r="N957" s="76">
        <v>80</v>
      </c>
      <c r="O957" s="76">
        <v>78</v>
      </c>
      <c r="P957" s="78">
        <v>2.5000000000000001E-2</v>
      </c>
    </row>
    <row r="958" spans="7:16" x14ac:dyDescent="0.3">
      <c r="G958" t="s">
        <v>2296</v>
      </c>
      <c r="H958" s="76" t="s">
        <v>399</v>
      </c>
      <c r="I958" s="76" t="s">
        <v>400</v>
      </c>
      <c r="J958" s="76" t="s">
        <v>372</v>
      </c>
      <c r="K958" s="76" t="s">
        <v>2297</v>
      </c>
      <c r="L958" s="76" t="s">
        <v>385</v>
      </c>
      <c r="M958" s="76" t="s">
        <v>401</v>
      </c>
      <c r="N958" s="76">
        <v>50</v>
      </c>
      <c r="O958" s="76">
        <v>49</v>
      </c>
      <c r="P958" s="78">
        <v>0.02</v>
      </c>
    </row>
    <row r="959" spans="7:16" x14ac:dyDescent="0.3">
      <c r="G959" t="s">
        <v>2298</v>
      </c>
      <c r="H959" s="76" t="s">
        <v>547</v>
      </c>
      <c r="I959" s="76" t="s">
        <v>548</v>
      </c>
      <c r="J959" s="76" t="s">
        <v>360</v>
      </c>
      <c r="K959" s="76" t="s">
        <v>466</v>
      </c>
      <c r="L959" s="76" t="s">
        <v>361</v>
      </c>
      <c r="M959" s="76" t="s">
        <v>1785</v>
      </c>
      <c r="N959" s="76">
        <v>80</v>
      </c>
      <c r="O959" s="76">
        <v>69</v>
      </c>
      <c r="P959" s="78">
        <v>0.13750000000000001</v>
      </c>
    </row>
    <row r="960" spans="7:16" x14ac:dyDescent="0.3">
      <c r="G960" t="s">
        <v>2299</v>
      </c>
      <c r="H960" s="76" t="s">
        <v>845</v>
      </c>
      <c r="I960" s="76" t="s">
        <v>846</v>
      </c>
      <c r="J960" s="76" t="s">
        <v>360</v>
      </c>
      <c r="K960" s="77">
        <v>42317</v>
      </c>
      <c r="L960" s="76" t="s">
        <v>483</v>
      </c>
      <c r="M960" s="76" t="s">
        <v>1264</v>
      </c>
      <c r="N960" s="76">
        <v>50</v>
      </c>
      <c r="O960" s="76">
        <v>32</v>
      </c>
      <c r="P960" s="78">
        <v>0.36</v>
      </c>
    </row>
    <row r="961" spans="7:16" x14ac:dyDescent="0.3">
      <c r="G961" t="s">
        <v>2300</v>
      </c>
      <c r="H961" s="76" t="s">
        <v>399</v>
      </c>
      <c r="I961" s="76" t="s">
        <v>400</v>
      </c>
      <c r="J961" s="76" t="s">
        <v>372</v>
      </c>
      <c r="K961" s="77">
        <v>42614</v>
      </c>
      <c r="L961" s="76" t="s">
        <v>411</v>
      </c>
      <c r="M961" s="76" t="s">
        <v>815</v>
      </c>
      <c r="N961" s="76">
        <v>1000</v>
      </c>
      <c r="O961" s="76">
        <v>580</v>
      </c>
      <c r="P961" s="78">
        <v>0.42</v>
      </c>
    </row>
    <row r="962" spans="7:16" x14ac:dyDescent="0.3">
      <c r="G962" t="s">
        <v>2301</v>
      </c>
      <c r="H962" s="76" t="s">
        <v>638</v>
      </c>
      <c r="I962" s="76" t="s">
        <v>639</v>
      </c>
      <c r="J962" s="76" t="s">
        <v>360</v>
      </c>
      <c r="K962" s="76" t="s">
        <v>1324</v>
      </c>
      <c r="L962" s="76" t="s">
        <v>373</v>
      </c>
      <c r="M962" s="76" t="s">
        <v>698</v>
      </c>
      <c r="N962" s="76">
        <v>700</v>
      </c>
      <c r="O962" s="76">
        <v>609</v>
      </c>
      <c r="P962" s="78">
        <v>0.13</v>
      </c>
    </row>
    <row r="963" spans="7:16" x14ac:dyDescent="0.3">
      <c r="G963" t="s">
        <v>2302</v>
      </c>
      <c r="H963" s="76" t="s">
        <v>514</v>
      </c>
      <c r="I963" s="76" t="s">
        <v>515</v>
      </c>
      <c r="J963" s="76" t="s">
        <v>360</v>
      </c>
      <c r="K963" s="77">
        <v>43012</v>
      </c>
      <c r="L963" s="76" t="s">
        <v>396</v>
      </c>
      <c r="M963" s="76" t="s">
        <v>517</v>
      </c>
      <c r="N963" s="76">
        <v>500</v>
      </c>
      <c r="O963" s="76">
        <v>480</v>
      </c>
      <c r="P963" s="78">
        <v>0.04</v>
      </c>
    </row>
    <row r="964" spans="7:16" x14ac:dyDescent="0.3">
      <c r="G964" t="s">
        <v>2303</v>
      </c>
      <c r="H964" s="76" t="s">
        <v>434</v>
      </c>
      <c r="I964" s="76" t="s">
        <v>435</v>
      </c>
      <c r="J964" s="76" t="s">
        <v>360</v>
      </c>
      <c r="K964" s="76" t="s">
        <v>2304</v>
      </c>
      <c r="L964" s="76" t="s">
        <v>483</v>
      </c>
      <c r="M964" s="76" t="s">
        <v>2305</v>
      </c>
      <c r="N964" s="76">
        <v>50</v>
      </c>
      <c r="O964" s="76">
        <v>45</v>
      </c>
      <c r="P964" s="78">
        <v>0.1</v>
      </c>
    </row>
    <row r="965" spans="7:16" x14ac:dyDescent="0.3">
      <c r="G965" t="s">
        <v>2306</v>
      </c>
      <c r="H965" s="76" t="s">
        <v>444</v>
      </c>
      <c r="I965" s="76" t="s">
        <v>445</v>
      </c>
      <c r="J965" s="76" t="s">
        <v>384</v>
      </c>
      <c r="K965" s="77">
        <v>42619</v>
      </c>
      <c r="L965" s="76" t="s">
        <v>385</v>
      </c>
      <c r="M965" s="76" t="s">
        <v>695</v>
      </c>
      <c r="N965" s="76">
        <v>50</v>
      </c>
      <c r="O965" s="76">
        <v>37</v>
      </c>
      <c r="P965" s="78">
        <v>0.26</v>
      </c>
    </row>
    <row r="966" spans="7:16" x14ac:dyDescent="0.3">
      <c r="G966" t="s">
        <v>2307</v>
      </c>
      <c r="H966" s="76" t="s">
        <v>473</v>
      </c>
      <c r="I966" s="76" t="s">
        <v>404</v>
      </c>
      <c r="J966" s="76" t="s">
        <v>360</v>
      </c>
      <c r="K966" s="77">
        <v>42649</v>
      </c>
      <c r="L966" s="76" t="s">
        <v>396</v>
      </c>
      <c r="M966" s="76" t="s">
        <v>2308</v>
      </c>
      <c r="N966" s="76">
        <v>500</v>
      </c>
      <c r="O966" s="76">
        <v>455</v>
      </c>
      <c r="P966" s="78">
        <v>0.09</v>
      </c>
    </row>
    <row r="967" spans="7:16" x14ac:dyDescent="0.3">
      <c r="G967" t="s">
        <v>2309</v>
      </c>
      <c r="H967" s="76" t="s">
        <v>409</v>
      </c>
      <c r="I967" s="76" t="s">
        <v>410</v>
      </c>
      <c r="J967" s="76" t="s">
        <v>360</v>
      </c>
      <c r="K967" s="77">
        <v>42438</v>
      </c>
      <c r="L967" s="76" t="s">
        <v>483</v>
      </c>
      <c r="M967" s="76" t="s">
        <v>1440</v>
      </c>
      <c r="N967" s="76">
        <v>50</v>
      </c>
      <c r="O967" s="76">
        <v>43</v>
      </c>
      <c r="P967" s="78">
        <v>0.14000000000000001</v>
      </c>
    </row>
    <row r="968" spans="7:16" x14ac:dyDescent="0.3">
      <c r="G968" t="s">
        <v>2310</v>
      </c>
      <c r="H968" s="76" t="s">
        <v>403</v>
      </c>
      <c r="I968" s="76" t="s">
        <v>404</v>
      </c>
      <c r="J968" s="76" t="s">
        <v>360</v>
      </c>
      <c r="K968" s="77">
        <v>42896</v>
      </c>
      <c r="L968" s="76" t="s">
        <v>411</v>
      </c>
      <c r="M968" s="76" t="s">
        <v>1403</v>
      </c>
      <c r="N968" s="76">
        <v>1000</v>
      </c>
      <c r="O968" s="76">
        <v>780</v>
      </c>
      <c r="P968" s="78">
        <v>0.22</v>
      </c>
    </row>
    <row r="969" spans="7:16" x14ac:dyDescent="0.3">
      <c r="G969" t="s">
        <v>2311</v>
      </c>
      <c r="H969" s="76" t="s">
        <v>668</v>
      </c>
      <c r="I969" s="76" t="s">
        <v>669</v>
      </c>
      <c r="J969" s="76" t="s">
        <v>360</v>
      </c>
      <c r="K969" s="76" t="s">
        <v>2312</v>
      </c>
      <c r="L969" s="76" t="s">
        <v>411</v>
      </c>
      <c r="M969" s="76" t="s">
        <v>1115</v>
      </c>
      <c r="N969" s="76">
        <v>1000</v>
      </c>
      <c r="O969" s="76">
        <v>670</v>
      </c>
      <c r="P969" s="78">
        <v>0.33</v>
      </c>
    </row>
    <row r="970" spans="7:16" x14ac:dyDescent="0.3">
      <c r="G970" t="s">
        <v>2313</v>
      </c>
      <c r="H970" s="76" t="s">
        <v>364</v>
      </c>
      <c r="I970" s="76" t="s">
        <v>365</v>
      </c>
      <c r="J970" s="76" t="s">
        <v>366</v>
      </c>
      <c r="K970" s="76" t="s">
        <v>2314</v>
      </c>
      <c r="L970" s="76" t="s">
        <v>361</v>
      </c>
      <c r="M970" s="76" t="s">
        <v>1531</v>
      </c>
      <c r="N970" s="76">
        <v>80</v>
      </c>
      <c r="O970" s="76">
        <v>77</v>
      </c>
      <c r="P970" s="78">
        <v>3.7499999999999999E-2</v>
      </c>
    </row>
    <row r="971" spans="7:16" x14ac:dyDescent="0.3">
      <c r="G971" t="s">
        <v>2315</v>
      </c>
      <c r="H971" s="76" t="s">
        <v>399</v>
      </c>
      <c r="I971" s="76" t="s">
        <v>400</v>
      </c>
      <c r="J971" s="76" t="s">
        <v>372</v>
      </c>
      <c r="K971" s="77">
        <v>42803</v>
      </c>
      <c r="L971" s="76" t="s">
        <v>391</v>
      </c>
      <c r="M971" s="76" t="s">
        <v>2316</v>
      </c>
      <c r="N971" s="76">
        <v>30</v>
      </c>
      <c r="O971" s="76">
        <v>29</v>
      </c>
      <c r="P971" s="78">
        <v>3.3300000000000003E-2</v>
      </c>
    </row>
    <row r="972" spans="7:16" x14ac:dyDescent="0.3">
      <c r="G972" t="s">
        <v>2317</v>
      </c>
      <c r="H972" s="76" t="s">
        <v>497</v>
      </c>
      <c r="I972" s="76" t="s">
        <v>445</v>
      </c>
      <c r="J972" s="76" t="s">
        <v>384</v>
      </c>
      <c r="K972" s="76" t="s">
        <v>1941</v>
      </c>
      <c r="L972" s="76" t="s">
        <v>475</v>
      </c>
      <c r="M972" s="76" t="s">
        <v>1819</v>
      </c>
      <c r="N972" s="76">
        <v>250</v>
      </c>
      <c r="O972" s="76">
        <v>225</v>
      </c>
      <c r="P972" s="78">
        <v>0.1</v>
      </c>
    </row>
    <row r="973" spans="7:16" x14ac:dyDescent="0.3">
      <c r="G973" t="s">
        <v>2318</v>
      </c>
      <c r="H973" s="76" t="s">
        <v>489</v>
      </c>
      <c r="I973" s="76" t="s">
        <v>490</v>
      </c>
      <c r="J973" s="76" t="s">
        <v>360</v>
      </c>
      <c r="K973" s="77">
        <v>43413</v>
      </c>
      <c r="L973" s="76" t="s">
        <v>475</v>
      </c>
      <c r="M973" s="76" t="s">
        <v>627</v>
      </c>
      <c r="N973" s="76">
        <v>250</v>
      </c>
      <c r="O973" s="76">
        <v>228</v>
      </c>
      <c r="P973" s="78">
        <v>8.7999999999999995E-2</v>
      </c>
    </row>
    <row r="974" spans="7:16" x14ac:dyDescent="0.3">
      <c r="G974" t="s">
        <v>2319</v>
      </c>
      <c r="H974" s="76" t="s">
        <v>656</v>
      </c>
      <c r="I974" s="76" t="s">
        <v>657</v>
      </c>
      <c r="J974" s="76" t="s">
        <v>360</v>
      </c>
      <c r="K974" s="77">
        <v>41736</v>
      </c>
      <c r="L974" s="76" t="s">
        <v>475</v>
      </c>
      <c r="M974" s="76" t="s">
        <v>1389</v>
      </c>
      <c r="N974" s="76">
        <v>250</v>
      </c>
      <c r="O974" s="76">
        <v>225</v>
      </c>
      <c r="P974" s="78">
        <v>0.1</v>
      </c>
    </row>
    <row r="975" spans="7:16" x14ac:dyDescent="0.3">
      <c r="G975" t="s">
        <v>2320</v>
      </c>
      <c r="H975" s="76" t="s">
        <v>656</v>
      </c>
      <c r="I975" s="76" t="s">
        <v>657</v>
      </c>
      <c r="J975" s="76" t="s">
        <v>360</v>
      </c>
      <c r="K975" s="76" t="s">
        <v>568</v>
      </c>
      <c r="L975" s="76" t="s">
        <v>391</v>
      </c>
      <c r="M975" s="76" t="s">
        <v>2005</v>
      </c>
      <c r="N975" s="76">
        <v>30</v>
      </c>
      <c r="O975" s="76">
        <v>28</v>
      </c>
      <c r="P975" s="78">
        <v>6.6699999999999995E-2</v>
      </c>
    </row>
    <row r="976" spans="7:16" x14ac:dyDescent="0.3">
      <c r="G976" t="s">
        <v>2321</v>
      </c>
      <c r="H976" s="76" t="s">
        <v>364</v>
      </c>
      <c r="I976" s="76" t="s">
        <v>365</v>
      </c>
      <c r="J976" s="76" t="s">
        <v>366</v>
      </c>
      <c r="K976" s="77">
        <v>43354</v>
      </c>
      <c r="L976" s="76" t="s">
        <v>361</v>
      </c>
      <c r="M976" s="76" t="s">
        <v>1037</v>
      </c>
      <c r="N976" s="76">
        <v>80</v>
      </c>
      <c r="O976" s="76">
        <v>72</v>
      </c>
      <c r="P976" s="78">
        <v>0.1</v>
      </c>
    </row>
    <row r="977" spans="7:16" x14ac:dyDescent="0.3">
      <c r="G977" t="s">
        <v>2322</v>
      </c>
      <c r="H977" s="76" t="s">
        <v>611</v>
      </c>
      <c r="I977" s="76" t="s">
        <v>389</v>
      </c>
      <c r="J977" s="76" t="s">
        <v>384</v>
      </c>
      <c r="K977" s="77">
        <v>41646</v>
      </c>
      <c r="L977" s="76" t="s">
        <v>461</v>
      </c>
      <c r="M977" s="76" t="s">
        <v>1729</v>
      </c>
      <c r="N977" s="76">
        <v>70</v>
      </c>
      <c r="O977" s="76">
        <v>62</v>
      </c>
      <c r="P977" s="78">
        <v>0.1143</v>
      </c>
    </row>
    <row r="978" spans="7:16" x14ac:dyDescent="0.3">
      <c r="G978" t="s">
        <v>2323</v>
      </c>
      <c r="H978" s="76" t="s">
        <v>449</v>
      </c>
      <c r="I978" s="76" t="s">
        <v>450</v>
      </c>
      <c r="J978" s="76" t="s">
        <v>360</v>
      </c>
      <c r="K978" s="77">
        <v>43252</v>
      </c>
      <c r="L978" s="76" t="s">
        <v>483</v>
      </c>
      <c r="M978" s="76" t="s">
        <v>1176</v>
      </c>
      <c r="N978" s="76">
        <v>50</v>
      </c>
      <c r="O978" s="76">
        <v>31</v>
      </c>
      <c r="P978" s="78">
        <v>0.38</v>
      </c>
    </row>
    <row r="979" spans="7:16" x14ac:dyDescent="0.3">
      <c r="G979" t="s">
        <v>2324</v>
      </c>
      <c r="H979" s="76" t="s">
        <v>547</v>
      </c>
      <c r="I979" s="76" t="s">
        <v>548</v>
      </c>
      <c r="J979" s="76" t="s">
        <v>360</v>
      </c>
      <c r="K979" s="77">
        <v>42100</v>
      </c>
      <c r="L979" s="76" t="s">
        <v>475</v>
      </c>
      <c r="M979" s="76" t="s">
        <v>680</v>
      </c>
      <c r="N979" s="76">
        <v>250</v>
      </c>
      <c r="O979" s="76">
        <v>190</v>
      </c>
      <c r="P979" s="78">
        <v>0.24</v>
      </c>
    </row>
    <row r="980" spans="7:16" x14ac:dyDescent="0.3">
      <c r="G980" t="s">
        <v>2325</v>
      </c>
      <c r="H980" s="76" t="s">
        <v>429</v>
      </c>
      <c r="I980" s="76" t="s">
        <v>430</v>
      </c>
      <c r="J980" s="76" t="s">
        <v>384</v>
      </c>
      <c r="K980" s="76" t="s">
        <v>2326</v>
      </c>
      <c r="L980" s="76" t="s">
        <v>361</v>
      </c>
      <c r="M980" s="76" t="s">
        <v>536</v>
      </c>
      <c r="N980" s="76">
        <v>80</v>
      </c>
      <c r="O980" s="76">
        <v>78</v>
      </c>
      <c r="P980" s="78">
        <v>2.5000000000000001E-2</v>
      </c>
    </row>
    <row r="981" spans="7:16" x14ac:dyDescent="0.3">
      <c r="G981" t="s">
        <v>2327</v>
      </c>
      <c r="H981" s="76" t="s">
        <v>444</v>
      </c>
      <c r="I981" s="76" t="s">
        <v>445</v>
      </c>
      <c r="J981" s="76" t="s">
        <v>384</v>
      </c>
      <c r="K981" s="76" t="s">
        <v>2328</v>
      </c>
      <c r="L981" s="76" t="s">
        <v>373</v>
      </c>
      <c r="M981" s="76" t="s">
        <v>2329</v>
      </c>
      <c r="N981" s="76">
        <v>700</v>
      </c>
      <c r="O981" s="76">
        <v>651</v>
      </c>
      <c r="P981" s="78">
        <v>7.0000000000000007E-2</v>
      </c>
    </row>
    <row r="982" spans="7:16" x14ac:dyDescent="0.3">
      <c r="G982" t="s">
        <v>2330</v>
      </c>
      <c r="H982" s="76" t="s">
        <v>656</v>
      </c>
      <c r="I982" s="76" t="s">
        <v>657</v>
      </c>
      <c r="J982" s="76" t="s">
        <v>360</v>
      </c>
      <c r="K982" s="76" t="s">
        <v>2331</v>
      </c>
      <c r="L982" s="76" t="s">
        <v>361</v>
      </c>
      <c r="M982" s="76" t="s">
        <v>1383</v>
      </c>
      <c r="N982" s="76">
        <v>80</v>
      </c>
      <c r="O982" s="76">
        <v>70</v>
      </c>
      <c r="P982" s="78">
        <v>0.125</v>
      </c>
    </row>
    <row r="983" spans="7:16" x14ac:dyDescent="0.3">
      <c r="G983" t="s">
        <v>2332</v>
      </c>
      <c r="H983" s="76" t="s">
        <v>560</v>
      </c>
      <c r="I983" s="76" t="s">
        <v>465</v>
      </c>
      <c r="J983" s="76" t="s">
        <v>366</v>
      </c>
      <c r="K983" s="76" t="s">
        <v>1131</v>
      </c>
      <c r="L983" s="76" t="s">
        <v>461</v>
      </c>
      <c r="M983" s="76" t="s">
        <v>2042</v>
      </c>
      <c r="N983" s="76">
        <v>70</v>
      </c>
      <c r="O983" s="76">
        <v>64</v>
      </c>
      <c r="P983" s="78">
        <v>8.5699999999999998E-2</v>
      </c>
    </row>
    <row r="984" spans="7:16" x14ac:dyDescent="0.3">
      <c r="G984" t="s">
        <v>2333</v>
      </c>
      <c r="H984" s="76" t="s">
        <v>438</v>
      </c>
      <c r="I984" s="76" t="s">
        <v>439</v>
      </c>
      <c r="J984" s="76" t="s">
        <v>360</v>
      </c>
      <c r="K984" s="76" t="s">
        <v>2334</v>
      </c>
      <c r="L984" s="76" t="s">
        <v>391</v>
      </c>
      <c r="M984" s="76" t="s">
        <v>1980</v>
      </c>
      <c r="N984" s="76">
        <v>30</v>
      </c>
      <c r="O984" s="76">
        <v>30</v>
      </c>
      <c r="P984" s="78">
        <v>0</v>
      </c>
    </row>
    <row r="985" spans="7:16" x14ac:dyDescent="0.3">
      <c r="G985" t="s">
        <v>2335</v>
      </c>
      <c r="H985" s="76" t="s">
        <v>459</v>
      </c>
      <c r="I985" s="76" t="s">
        <v>422</v>
      </c>
      <c r="J985" s="76" t="s">
        <v>384</v>
      </c>
      <c r="K985" s="76" t="s">
        <v>2171</v>
      </c>
      <c r="L985" s="76" t="s">
        <v>424</v>
      </c>
      <c r="M985" s="76" t="s">
        <v>1283</v>
      </c>
      <c r="N985" s="76">
        <v>500</v>
      </c>
      <c r="O985" s="76">
        <v>490</v>
      </c>
      <c r="P985" s="78">
        <v>0.02</v>
      </c>
    </row>
    <row r="986" spans="7:16" x14ac:dyDescent="0.3">
      <c r="G986" t="s">
        <v>2336</v>
      </c>
      <c r="H986" s="76" t="s">
        <v>514</v>
      </c>
      <c r="I986" s="76" t="s">
        <v>515</v>
      </c>
      <c r="J986" s="76" t="s">
        <v>360</v>
      </c>
      <c r="K986" s="77">
        <v>43018</v>
      </c>
      <c r="L986" s="76" t="s">
        <v>379</v>
      </c>
      <c r="M986" s="76" t="s">
        <v>1960</v>
      </c>
      <c r="N986" s="76">
        <v>150</v>
      </c>
      <c r="O986" s="76">
        <v>138</v>
      </c>
      <c r="P986" s="78">
        <v>0.08</v>
      </c>
    </row>
    <row r="987" spans="7:16" x14ac:dyDescent="0.3">
      <c r="G987" t="s">
        <v>2337</v>
      </c>
      <c r="H987" s="76" t="s">
        <v>591</v>
      </c>
      <c r="I987" s="76" t="s">
        <v>592</v>
      </c>
      <c r="J987" s="76" t="s">
        <v>372</v>
      </c>
      <c r="K987" s="77">
        <v>42835</v>
      </c>
      <c r="L987" s="76" t="s">
        <v>475</v>
      </c>
      <c r="M987" s="76" t="s">
        <v>1327</v>
      </c>
      <c r="N987" s="76">
        <v>250</v>
      </c>
      <c r="O987" s="76">
        <v>235</v>
      </c>
      <c r="P987" s="78">
        <v>0.06</v>
      </c>
    </row>
    <row r="988" spans="7:16" x14ac:dyDescent="0.3">
      <c r="G988" t="s">
        <v>2338</v>
      </c>
      <c r="H988" s="76" t="s">
        <v>388</v>
      </c>
      <c r="I988" s="76" t="s">
        <v>389</v>
      </c>
      <c r="J988" s="76" t="s">
        <v>384</v>
      </c>
      <c r="K988" s="76" t="s">
        <v>2339</v>
      </c>
      <c r="L988" s="76" t="s">
        <v>424</v>
      </c>
      <c r="M988" s="76" t="s">
        <v>2036</v>
      </c>
      <c r="N988" s="76">
        <v>500</v>
      </c>
      <c r="O988" s="76">
        <v>500</v>
      </c>
      <c r="P988" s="78">
        <v>0</v>
      </c>
    </row>
    <row r="989" spans="7:16" x14ac:dyDescent="0.3">
      <c r="G989" t="s">
        <v>2340</v>
      </c>
      <c r="H989" s="76" t="s">
        <v>434</v>
      </c>
      <c r="I989" s="76" t="s">
        <v>435</v>
      </c>
      <c r="J989" s="76" t="s">
        <v>360</v>
      </c>
      <c r="K989" s="76" t="s">
        <v>2341</v>
      </c>
      <c r="L989" s="76" t="s">
        <v>405</v>
      </c>
      <c r="M989" s="76" t="s">
        <v>1955</v>
      </c>
      <c r="N989" s="76">
        <v>800</v>
      </c>
      <c r="O989" s="76">
        <v>616</v>
      </c>
      <c r="P989" s="78">
        <v>0.23</v>
      </c>
    </row>
    <row r="990" spans="7:16" x14ac:dyDescent="0.3">
      <c r="G990" t="s">
        <v>2342</v>
      </c>
      <c r="H990" s="76" t="s">
        <v>845</v>
      </c>
      <c r="I990" s="76" t="s">
        <v>846</v>
      </c>
      <c r="J990" s="76" t="s">
        <v>360</v>
      </c>
      <c r="K990" s="76" t="s">
        <v>1253</v>
      </c>
      <c r="L990" s="76" t="s">
        <v>405</v>
      </c>
      <c r="M990" s="76" t="s">
        <v>903</v>
      </c>
      <c r="N990" s="76">
        <v>800</v>
      </c>
      <c r="O990" s="76">
        <v>664</v>
      </c>
      <c r="P990" s="78">
        <v>0.17</v>
      </c>
    </row>
    <row r="991" spans="7:16" x14ac:dyDescent="0.3">
      <c r="G991" t="s">
        <v>2343</v>
      </c>
      <c r="H991" s="76" t="s">
        <v>469</v>
      </c>
      <c r="I991" s="76" t="s">
        <v>435</v>
      </c>
      <c r="J991" s="76" t="s">
        <v>360</v>
      </c>
      <c r="K991" s="76" t="s">
        <v>2344</v>
      </c>
      <c r="L991" s="76" t="s">
        <v>424</v>
      </c>
      <c r="M991" s="76" t="s">
        <v>708</v>
      </c>
      <c r="N991" s="76">
        <v>500</v>
      </c>
      <c r="O991" s="76">
        <v>500</v>
      </c>
      <c r="P991" s="78">
        <v>0</v>
      </c>
    </row>
    <row r="992" spans="7:16" x14ac:dyDescent="0.3">
      <c r="G992" t="s">
        <v>2345</v>
      </c>
      <c r="H992" s="76" t="s">
        <v>845</v>
      </c>
      <c r="I992" s="76" t="s">
        <v>846</v>
      </c>
      <c r="J992" s="76" t="s">
        <v>360</v>
      </c>
      <c r="K992" s="77">
        <v>43049</v>
      </c>
      <c r="L992" s="76" t="s">
        <v>385</v>
      </c>
      <c r="M992" s="76" t="s">
        <v>1457</v>
      </c>
      <c r="N992" s="76">
        <v>50</v>
      </c>
      <c r="O992" s="76">
        <v>46</v>
      </c>
      <c r="P992" s="78">
        <v>0.08</v>
      </c>
    </row>
    <row r="993" spans="7:16" x14ac:dyDescent="0.3">
      <c r="G993" t="s">
        <v>2346</v>
      </c>
      <c r="H993" s="76" t="s">
        <v>388</v>
      </c>
      <c r="I993" s="76" t="s">
        <v>389</v>
      </c>
      <c r="J993" s="76" t="s">
        <v>384</v>
      </c>
      <c r="K993" s="76" t="s">
        <v>2347</v>
      </c>
      <c r="L993" s="76" t="s">
        <v>379</v>
      </c>
      <c r="M993" s="76" t="s">
        <v>2348</v>
      </c>
      <c r="N993" s="76">
        <v>150</v>
      </c>
      <c r="O993" s="76">
        <v>138</v>
      </c>
      <c r="P993" s="78">
        <v>0.08</v>
      </c>
    </row>
    <row r="994" spans="7:16" x14ac:dyDescent="0.3">
      <c r="G994" t="s">
        <v>2349</v>
      </c>
      <c r="H994" s="76" t="s">
        <v>611</v>
      </c>
      <c r="I994" s="76" t="s">
        <v>389</v>
      </c>
      <c r="J994" s="76" t="s">
        <v>384</v>
      </c>
      <c r="K994" s="76" t="s">
        <v>2350</v>
      </c>
      <c r="L994" s="76" t="s">
        <v>391</v>
      </c>
      <c r="M994" s="76" t="s">
        <v>643</v>
      </c>
      <c r="N994" s="76">
        <v>30</v>
      </c>
      <c r="O994" s="76">
        <v>28</v>
      </c>
      <c r="P994" s="78">
        <v>6.6699999999999995E-2</v>
      </c>
    </row>
    <row r="995" spans="7:16" x14ac:dyDescent="0.3">
      <c r="G995" t="s">
        <v>2351</v>
      </c>
      <c r="H995" s="76" t="s">
        <v>619</v>
      </c>
      <c r="I995" s="76" t="s">
        <v>620</v>
      </c>
      <c r="J995" s="76" t="s">
        <v>372</v>
      </c>
      <c r="K995" s="77">
        <v>42461</v>
      </c>
      <c r="L995" s="76" t="s">
        <v>483</v>
      </c>
      <c r="M995" s="76" t="s">
        <v>2186</v>
      </c>
      <c r="N995" s="76">
        <v>50</v>
      </c>
      <c r="O995" s="76">
        <v>49</v>
      </c>
      <c r="P995" s="78">
        <v>0.02</v>
      </c>
    </row>
    <row r="996" spans="7:16" x14ac:dyDescent="0.3">
      <c r="G996" t="s">
        <v>2352</v>
      </c>
      <c r="H996" s="76" t="s">
        <v>528</v>
      </c>
      <c r="I996" s="76" t="s">
        <v>465</v>
      </c>
      <c r="J996" s="76" t="s">
        <v>366</v>
      </c>
      <c r="K996" s="76" t="s">
        <v>2353</v>
      </c>
      <c r="L996" s="76" t="s">
        <v>391</v>
      </c>
      <c r="M996" s="76" t="s">
        <v>1158</v>
      </c>
      <c r="N996" s="76">
        <v>30</v>
      </c>
      <c r="O996" s="76">
        <v>29</v>
      </c>
      <c r="P996" s="78">
        <v>3.3300000000000003E-2</v>
      </c>
    </row>
    <row r="997" spans="7:16" x14ac:dyDescent="0.3">
      <c r="G997" t="s">
        <v>2354</v>
      </c>
      <c r="H997" s="76" t="s">
        <v>459</v>
      </c>
      <c r="I997" s="76" t="s">
        <v>422</v>
      </c>
      <c r="J997" s="76" t="s">
        <v>384</v>
      </c>
      <c r="K997" s="76" t="s">
        <v>1171</v>
      </c>
      <c r="L997" s="76" t="s">
        <v>475</v>
      </c>
      <c r="M997" s="76" t="s">
        <v>2355</v>
      </c>
      <c r="N997" s="76">
        <v>250</v>
      </c>
      <c r="O997" s="76">
        <v>238</v>
      </c>
      <c r="P997" s="78">
        <v>4.8000000000000001E-2</v>
      </c>
    </row>
    <row r="998" spans="7:16" x14ac:dyDescent="0.3">
      <c r="G998" t="s">
        <v>2356</v>
      </c>
      <c r="H998" s="76" t="s">
        <v>376</v>
      </c>
      <c r="I998" s="76" t="s">
        <v>377</v>
      </c>
      <c r="J998" s="76" t="s">
        <v>360</v>
      </c>
      <c r="K998" s="77">
        <v>43378</v>
      </c>
      <c r="L998" s="76" t="s">
        <v>361</v>
      </c>
      <c r="M998" s="76" t="s">
        <v>2357</v>
      </c>
      <c r="N998" s="76">
        <v>80</v>
      </c>
      <c r="O998" s="76">
        <v>80</v>
      </c>
      <c r="P998" s="78">
        <v>0</v>
      </c>
    </row>
    <row r="999" spans="7:16" x14ac:dyDescent="0.3">
      <c r="G999" t="s">
        <v>2358</v>
      </c>
      <c r="H999" s="76" t="s">
        <v>514</v>
      </c>
      <c r="I999" s="76" t="s">
        <v>515</v>
      </c>
      <c r="J999" s="76" t="s">
        <v>360</v>
      </c>
      <c r="K999" s="76" t="s">
        <v>2359</v>
      </c>
      <c r="L999" s="76" t="s">
        <v>424</v>
      </c>
      <c r="M999" s="76" t="s">
        <v>1693</v>
      </c>
      <c r="N999" s="76">
        <v>500</v>
      </c>
      <c r="O999" s="76">
        <v>495</v>
      </c>
      <c r="P999" s="78">
        <v>0.01</v>
      </c>
    </row>
    <row r="1000" spans="7:16" x14ac:dyDescent="0.3">
      <c r="G1000" t="s">
        <v>2360</v>
      </c>
      <c r="H1000" s="76" t="s">
        <v>414</v>
      </c>
      <c r="I1000" s="76" t="s">
        <v>415</v>
      </c>
      <c r="J1000" s="76" t="s">
        <v>384</v>
      </c>
      <c r="K1000" s="76" t="s">
        <v>1154</v>
      </c>
      <c r="L1000" s="76" t="s">
        <v>379</v>
      </c>
      <c r="M1000" s="76" t="s">
        <v>2361</v>
      </c>
      <c r="N1000" s="76">
        <v>150</v>
      </c>
      <c r="O1000" s="76">
        <v>146</v>
      </c>
      <c r="P1000" s="78">
        <v>2.6700000000000002E-2</v>
      </c>
    </row>
    <row r="1001" spans="7:16" x14ac:dyDescent="0.3">
      <c r="G1001" t="s">
        <v>2362</v>
      </c>
      <c r="H1001" s="76" t="s">
        <v>566</v>
      </c>
      <c r="I1001" s="76" t="s">
        <v>567</v>
      </c>
      <c r="J1001" s="76" t="s">
        <v>360</v>
      </c>
      <c r="K1001" s="77">
        <v>42502</v>
      </c>
      <c r="L1001" s="76" t="s">
        <v>361</v>
      </c>
      <c r="M1001" s="76" t="s">
        <v>633</v>
      </c>
      <c r="N1001" s="76">
        <v>80</v>
      </c>
      <c r="O1001" s="76">
        <v>70</v>
      </c>
      <c r="P1001" s="78">
        <v>0.125</v>
      </c>
    </row>
    <row r="1002" spans="7:16" x14ac:dyDescent="0.3">
      <c r="G1002" t="s">
        <v>2363</v>
      </c>
      <c r="H1002" s="76" t="s">
        <v>358</v>
      </c>
      <c r="I1002" s="76" t="s">
        <v>359</v>
      </c>
      <c r="J1002" s="76" t="s">
        <v>360</v>
      </c>
      <c r="K1002" s="76" t="s">
        <v>1235</v>
      </c>
      <c r="L1002" s="76" t="s">
        <v>411</v>
      </c>
      <c r="M1002" s="76" t="s">
        <v>575</v>
      </c>
      <c r="N1002" s="76">
        <v>1000</v>
      </c>
      <c r="O1002" s="76">
        <v>970</v>
      </c>
      <c r="P1002" s="78">
        <v>0.03</v>
      </c>
    </row>
    <row r="1003" spans="7:16" x14ac:dyDescent="0.3">
      <c r="G1003" t="s">
        <v>2364</v>
      </c>
      <c r="H1003" s="76" t="s">
        <v>560</v>
      </c>
      <c r="I1003" s="76" t="s">
        <v>465</v>
      </c>
      <c r="J1003" s="76" t="s">
        <v>366</v>
      </c>
      <c r="K1003" s="76" t="s">
        <v>2365</v>
      </c>
      <c r="L1003" s="76" t="s">
        <v>411</v>
      </c>
      <c r="M1003" s="76" t="s">
        <v>2042</v>
      </c>
      <c r="N1003" s="76">
        <v>1000</v>
      </c>
      <c r="O1003" s="76">
        <v>690</v>
      </c>
      <c r="P1003" s="78">
        <v>0.31</v>
      </c>
    </row>
    <row r="1004" spans="7:16" x14ac:dyDescent="0.3">
      <c r="G1004" t="s">
        <v>2366</v>
      </c>
      <c r="H1004" s="76" t="s">
        <v>364</v>
      </c>
      <c r="I1004" s="76" t="s">
        <v>365</v>
      </c>
      <c r="J1004" s="76" t="s">
        <v>366</v>
      </c>
      <c r="K1004" s="77">
        <v>42706</v>
      </c>
      <c r="L1004" s="76" t="s">
        <v>385</v>
      </c>
      <c r="M1004" s="76" t="s">
        <v>1037</v>
      </c>
      <c r="N1004" s="76">
        <v>50</v>
      </c>
      <c r="O1004" s="76">
        <v>43</v>
      </c>
      <c r="P1004" s="78">
        <v>0.14000000000000001</v>
      </c>
    </row>
    <row r="1005" spans="7:16" x14ac:dyDescent="0.3">
      <c r="G1005" t="s">
        <v>2367</v>
      </c>
      <c r="H1005" s="76" t="s">
        <v>519</v>
      </c>
      <c r="I1005" s="76" t="s">
        <v>520</v>
      </c>
      <c r="J1005" s="76" t="s">
        <v>360</v>
      </c>
      <c r="K1005" s="77">
        <v>41732</v>
      </c>
      <c r="L1005" s="76" t="s">
        <v>411</v>
      </c>
      <c r="M1005" s="76" t="s">
        <v>522</v>
      </c>
      <c r="N1005" s="76">
        <v>1000</v>
      </c>
      <c r="O1005" s="76">
        <v>650</v>
      </c>
      <c r="P1005" s="78">
        <v>0.35</v>
      </c>
    </row>
    <row r="1006" spans="7:16" x14ac:dyDescent="0.3">
      <c r="G1006" t="s">
        <v>2368</v>
      </c>
      <c r="H1006" s="76" t="s">
        <v>514</v>
      </c>
      <c r="I1006" s="76" t="s">
        <v>515</v>
      </c>
      <c r="J1006" s="76" t="s">
        <v>360</v>
      </c>
      <c r="K1006" s="76" t="s">
        <v>1802</v>
      </c>
      <c r="L1006" s="76" t="s">
        <v>411</v>
      </c>
      <c r="M1006" s="76" t="s">
        <v>2073</v>
      </c>
      <c r="N1006" s="76">
        <v>1000</v>
      </c>
      <c r="O1006" s="76">
        <v>520</v>
      </c>
      <c r="P1006" s="78">
        <v>0.48</v>
      </c>
    </row>
    <row r="1007" spans="7:16" x14ac:dyDescent="0.3">
      <c r="G1007" t="s">
        <v>2369</v>
      </c>
      <c r="H1007" s="76" t="s">
        <v>358</v>
      </c>
      <c r="I1007" s="76" t="s">
        <v>359</v>
      </c>
      <c r="J1007" s="76" t="s">
        <v>360</v>
      </c>
      <c r="K1007" s="77">
        <v>43009</v>
      </c>
      <c r="L1007" s="76" t="s">
        <v>379</v>
      </c>
      <c r="M1007" s="76" t="s">
        <v>780</v>
      </c>
      <c r="N1007" s="76">
        <v>150</v>
      </c>
      <c r="O1007" s="76">
        <v>149</v>
      </c>
      <c r="P1007" s="78">
        <v>6.7000000000000002E-3</v>
      </c>
    </row>
    <row r="1008" spans="7:16" x14ac:dyDescent="0.3">
      <c r="G1008" t="s">
        <v>2370</v>
      </c>
      <c r="H1008" s="76" t="s">
        <v>700</v>
      </c>
      <c r="I1008" s="76" t="s">
        <v>465</v>
      </c>
      <c r="J1008" s="76" t="s">
        <v>366</v>
      </c>
      <c r="K1008" s="76" t="s">
        <v>925</v>
      </c>
      <c r="L1008" s="76" t="s">
        <v>373</v>
      </c>
      <c r="M1008" s="76" t="s">
        <v>2371</v>
      </c>
      <c r="N1008" s="76">
        <v>700</v>
      </c>
      <c r="O1008" s="76">
        <v>665</v>
      </c>
      <c r="P1008" s="78">
        <v>0.05</v>
      </c>
    </row>
    <row r="1009" spans="7:16" x14ac:dyDescent="0.3">
      <c r="G1009" t="s">
        <v>2372</v>
      </c>
      <c r="H1009" s="76" t="s">
        <v>560</v>
      </c>
      <c r="I1009" s="76" t="s">
        <v>465</v>
      </c>
      <c r="J1009" s="76" t="s">
        <v>366</v>
      </c>
      <c r="K1009" s="76" t="s">
        <v>2373</v>
      </c>
      <c r="L1009" s="76" t="s">
        <v>373</v>
      </c>
      <c r="M1009" s="76" t="s">
        <v>983</v>
      </c>
      <c r="N1009" s="76">
        <v>700</v>
      </c>
      <c r="O1009" s="76">
        <v>560</v>
      </c>
      <c r="P1009" s="78">
        <v>0.2</v>
      </c>
    </row>
    <row r="1010" spans="7:16" x14ac:dyDescent="0.3">
      <c r="G1010" t="s">
        <v>2374</v>
      </c>
      <c r="H1010" s="76" t="s">
        <v>485</v>
      </c>
      <c r="I1010" s="76" t="s">
        <v>389</v>
      </c>
      <c r="J1010" s="76" t="s">
        <v>384</v>
      </c>
      <c r="K1010" s="76" t="s">
        <v>2375</v>
      </c>
      <c r="L1010" s="76" t="s">
        <v>385</v>
      </c>
      <c r="M1010" s="76" t="s">
        <v>1673</v>
      </c>
      <c r="N1010" s="76">
        <v>50</v>
      </c>
      <c r="O1010" s="76">
        <v>44</v>
      </c>
      <c r="P1010" s="78">
        <v>0.12</v>
      </c>
    </row>
    <row r="1011" spans="7:16" x14ac:dyDescent="0.3">
      <c r="G1011" t="s">
        <v>2376</v>
      </c>
      <c r="H1011" s="76" t="s">
        <v>560</v>
      </c>
      <c r="I1011" s="76" t="s">
        <v>465</v>
      </c>
      <c r="J1011" s="76" t="s">
        <v>366</v>
      </c>
      <c r="K1011" s="77">
        <v>42402</v>
      </c>
      <c r="L1011" s="76" t="s">
        <v>411</v>
      </c>
      <c r="M1011" s="76" t="s">
        <v>562</v>
      </c>
      <c r="N1011" s="76">
        <v>1000</v>
      </c>
      <c r="O1011" s="76">
        <v>760</v>
      </c>
      <c r="P1011" s="78">
        <v>0.24</v>
      </c>
    </row>
    <row r="1012" spans="7:16" x14ac:dyDescent="0.3">
      <c r="G1012" t="s">
        <v>2377</v>
      </c>
      <c r="H1012" s="76" t="s">
        <v>494</v>
      </c>
      <c r="I1012" s="76" t="s">
        <v>465</v>
      </c>
      <c r="J1012" s="76" t="s">
        <v>366</v>
      </c>
      <c r="K1012" s="77">
        <v>42441</v>
      </c>
      <c r="L1012" s="76" t="s">
        <v>475</v>
      </c>
      <c r="M1012" s="76" t="s">
        <v>2378</v>
      </c>
      <c r="N1012" s="76">
        <v>250</v>
      </c>
      <c r="O1012" s="76">
        <v>228</v>
      </c>
      <c r="P1012" s="78">
        <v>8.7999999999999995E-2</v>
      </c>
    </row>
    <row r="1013" spans="7:16" x14ac:dyDescent="0.3">
      <c r="G1013" t="s">
        <v>2379</v>
      </c>
      <c r="H1013" s="76" t="s">
        <v>454</v>
      </c>
      <c r="I1013" s="76" t="s">
        <v>455</v>
      </c>
      <c r="J1013" s="76" t="s">
        <v>360</v>
      </c>
      <c r="K1013" s="77">
        <v>43046</v>
      </c>
      <c r="L1013" s="76" t="s">
        <v>475</v>
      </c>
      <c r="M1013" s="76" t="s">
        <v>1772</v>
      </c>
      <c r="N1013" s="76">
        <v>250</v>
      </c>
      <c r="O1013" s="76">
        <v>248</v>
      </c>
      <c r="P1013" s="78">
        <v>8.0000000000000002E-3</v>
      </c>
    </row>
    <row r="1014" spans="7:16" x14ac:dyDescent="0.3">
      <c r="G1014" t="s">
        <v>2380</v>
      </c>
      <c r="H1014" s="76" t="s">
        <v>591</v>
      </c>
      <c r="I1014" s="76" t="s">
        <v>592</v>
      </c>
      <c r="J1014" s="76" t="s">
        <v>372</v>
      </c>
      <c r="K1014" s="76" t="s">
        <v>2381</v>
      </c>
      <c r="L1014" s="76" t="s">
        <v>385</v>
      </c>
      <c r="M1014" s="76" t="s">
        <v>1277</v>
      </c>
      <c r="N1014" s="76">
        <v>50</v>
      </c>
      <c r="O1014" s="76">
        <v>39</v>
      </c>
      <c r="P1014" s="78">
        <v>0.22</v>
      </c>
    </row>
    <row r="1015" spans="7:16" x14ac:dyDescent="0.3">
      <c r="G1015" t="s">
        <v>2382</v>
      </c>
      <c r="H1015" s="76" t="s">
        <v>747</v>
      </c>
      <c r="I1015" s="76" t="s">
        <v>748</v>
      </c>
      <c r="J1015" s="76" t="s">
        <v>360</v>
      </c>
      <c r="K1015" s="76" t="s">
        <v>1063</v>
      </c>
      <c r="L1015" s="76" t="s">
        <v>475</v>
      </c>
      <c r="M1015" s="76" t="s">
        <v>1542</v>
      </c>
      <c r="N1015" s="76">
        <v>250</v>
      </c>
      <c r="O1015" s="76">
        <v>248</v>
      </c>
      <c r="P1015" s="78">
        <v>8.0000000000000002E-3</v>
      </c>
    </row>
    <row r="1016" spans="7:16" x14ac:dyDescent="0.3">
      <c r="G1016" t="s">
        <v>2383</v>
      </c>
      <c r="H1016" s="76" t="s">
        <v>638</v>
      </c>
      <c r="I1016" s="76" t="s">
        <v>639</v>
      </c>
      <c r="J1016" s="76" t="s">
        <v>360</v>
      </c>
      <c r="K1016" s="76" t="s">
        <v>2384</v>
      </c>
      <c r="L1016" s="76" t="s">
        <v>475</v>
      </c>
      <c r="M1016" s="76" t="s">
        <v>1148</v>
      </c>
      <c r="N1016" s="76">
        <v>250</v>
      </c>
      <c r="O1016" s="76">
        <v>250</v>
      </c>
      <c r="P1016" s="78">
        <v>0</v>
      </c>
    </row>
    <row r="1017" spans="7:16" x14ac:dyDescent="0.3">
      <c r="G1017" t="s">
        <v>2385</v>
      </c>
      <c r="H1017" s="76" t="s">
        <v>464</v>
      </c>
      <c r="I1017" s="76" t="s">
        <v>465</v>
      </c>
      <c r="J1017" s="76" t="s">
        <v>366</v>
      </c>
      <c r="K1017" s="77">
        <v>42860</v>
      </c>
      <c r="L1017" s="76" t="s">
        <v>385</v>
      </c>
      <c r="M1017" s="76" t="s">
        <v>2386</v>
      </c>
      <c r="N1017" s="76">
        <v>50</v>
      </c>
      <c r="O1017" s="76">
        <v>48</v>
      </c>
      <c r="P1017" s="78">
        <v>0.04</v>
      </c>
    </row>
    <row r="1018" spans="7:16" x14ac:dyDescent="0.3">
      <c r="G1018" t="s">
        <v>2387</v>
      </c>
      <c r="H1018" s="76" t="s">
        <v>551</v>
      </c>
      <c r="I1018" s="76" t="s">
        <v>552</v>
      </c>
      <c r="J1018" s="76" t="s">
        <v>360</v>
      </c>
      <c r="K1018" s="76" t="s">
        <v>2388</v>
      </c>
      <c r="L1018" s="76" t="s">
        <v>411</v>
      </c>
      <c r="M1018" s="76" t="s">
        <v>2389</v>
      </c>
      <c r="N1018" s="76">
        <v>1000</v>
      </c>
      <c r="O1018" s="76">
        <v>590</v>
      </c>
      <c r="P1018" s="78">
        <v>0.41</v>
      </c>
    </row>
    <row r="1019" spans="7:16" x14ac:dyDescent="0.3">
      <c r="G1019" t="s">
        <v>2390</v>
      </c>
      <c r="H1019" s="76" t="s">
        <v>403</v>
      </c>
      <c r="I1019" s="76" t="s">
        <v>404</v>
      </c>
      <c r="J1019" s="76" t="s">
        <v>360</v>
      </c>
      <c r="K1019" s="76" t="s">
        <v>910</v>
      </c>
      <c r="L1019" s="76" t="s">
        <v>361</v>
      </c>
      <c r="M1019" s="76" t="s">
        <v>1919</v>
      </c>
      <c r="N1019" s="76">
        <v>80</v>
      </c>
      <c r="O1019" s="76">
        <v>76</v>
      </c>
      <c r="P1019" s="78">
        <v>0.05</v>
      </c>
    </row>
    <row r="1020" spans="7:16" x14ac:dyDescent="0.3">
      <c r="G1020" t="s">
        <v>2391</v>
      </c>
      <c r="H1020" s="76" t="s">
        <v>394</v>
      </c>
      <c r="I1020" s="76" t="s">
        <v>395</v>
      </c>
      <c r="J1020" s="76" t="s">
        <v>372</v>
      </c>
      <c r="K1020" s="76" t="s">
        <v>1993</v>
      </c>
      <c r="L1020" s="76" t="s">
        <v>396</v>
      </c>
      <c r="M1020" s="76" t="s">
        <v>1843</v>
      </c>
      <c r="N1020" s="76">
        <v>500</v>
      </c>
      <c r="O1020" s="76">
        <v>480</v>
      </c>
      <c r="P1020" s="78">
        <v>0.04</v>
      </c>
    </row>
    <row r="1021" spans="7:16" x14ac:dyDescent="0.3">
      <c r="G1021" t="s">
        <v>2392</v>
      </c>
      <c r="H1021" s="76" t="s">
        <v>519</v>
      </c>
      <c r="I1021" s="76" t="s">
        <v>520</v>
      </c>
      <c r="J1021" s="76" t="s">
        <v>360</v>
      </c>
      <c r="K1021" s="77">
        <v>42676</v>
      </c>
      <c r="L1021" s="76" t="s">
        <v>405</v>
      </c>
      <c r="M1021" s="76" t="s">
        <v>1416</v>
      </c>
      <c r="N1021" s="76">
        <v>800</v>
      </c>
      <c r="O1021" s="76">
        <v>720</v>
      </c>
      <c r="P1021" s="78">
        <v>0.1</v>
      </c>
    </row>
    <row r="1022" spans="7:16" x14ac:dyDescent="0.3">
      <c r="G1022" t="s">
        <v>2393</v>
      </c>
      <c r="H1022" s="76" t="s">
        <v>414</v>
      </c>
      <c r="I1022" s="76" t="s">
        <v>415</v>
      </c>
      <c r="J1022" s="76" t="s">
        <v>384</v>
      </c>
      <c r="K1022" s="77">
        <v>43109</v>
      </c>
      <c r="L1022" s="76" t="s">
        <v>461</v>
      </c>
      <c r="M1022" s="76" t="s">
        <v>1359</v>
      </c>
      <c r="N1022" s="76">
        <v>70</v>
      </c>
      <c r="O1022" s="76">
        <v>69</v>
      </c>
      <c r="P1022" s="78">
        <v>1.43E-2</v>
      </c>
    </row>
    <row r="1023" spans="7:16" x14ac:dyDescent="0.3">
      <c r="G1023" t="s">
        <v>2394</v>
      </c>
      <c r="H1023" s="76" t="s">
        <v>434</v>
      </c>
      <c r="I1023" s="76" t="s">
        <v>435</v>
      </c>
      <c r="J1023" s="76" t="s">
        <v>360</v>
      </c>
      <c r="K1023" s="76" t="s">
        <v>2395</v>
      </c>
      <c r="L1023" s="76" t="s">
        <v>461</v>
      </c>
      <c r="M1023" s="76" t="s">
        <v>577</v>
      </c>
      <c r="N1023" s="76">
        <v>70</v>
      </c>
      <c r="O1023" s="76">
        <v>60</v>
      </c>
      <c r="P1023" s="78">
        <v>0.1429</v>
      </c>
    </row>
    <row r="1024" spans="7:16" x14ac:dyDescent="0.3">
      <c r="G1024" t="s">
        <v>2396</v>
      </c>
      <c r="H1024" s="76" t="s">
        <v>891</v>
      </c>
      <c r="I1024" s="76" t="s">
        <v>892</v>
      </c>
      <c r="J1024" s="76" t="s">
        <v>372</v>
      </c>
      <c r="K1024" s="76" t="s">
        <v>2397</v>
      </c>
      <c r="L1024" s="76" t="s">
        <v>385</v>
      </c>
      <c r="M1024" s="76" t="s">
        <v>1096</v>
      </c>
      <c r="N1024" s="76">
        <v>50</v>
      </c>
      <c r="O1024" s="76">
        <v>44</v>
      </c>
      <c r="P1024" s="78">
        <v>0.12</v>
      </c>
    </row>
    <row r="1025" spans="7:16" x14ac:dyDescent="0.3">
      <c r="G1025" t="s">
        <v>2398</v>
      </c>
      <c r="H1025" s="76" t="s">
        <v>675</v>
      </c>
      <c r="I1025" s="76" t="s">
        <v>676</v>
      </c>
      <c r="J1025" s="76" t="s">
        <v>384</v>
      </c>
      <c r="K1025" s="76" t="s">
        <v>2399</v>
      </c>
      <c r="L1025" s="76" t="s">
        <v>361</v>
      </c>
      <c r="M1025" s="76" t="s">
        <v>764</v>
      </c>
      <c r="N1025" s="76">
        <v>80</v>
      </c>
      <c r="O1025" s="76">
        <v>74</v>
      </c>
      <c r="P1025" s="78">
        <v>7.4999999999999997E-2</v>
      </c>
    </row>
    <row r="1026" spans="7:16" x14ac:dyDescent="0.3">
      <c r="G1026" t="s">
        <v>2400</v>
      </c>
      <c r="H1026" s="76" t="s">
        <v>454</v>
      </c>
      <c r="I1026" s="76" t="s">
        <v>455</v>
      </c>
      <c r="J1026" s="76" t="s">
        <v>360</v>
      </c>
      <c r="K1026" s="76" t="s">
        <v>466</v>
      </c>
      <c r="L1026" s="76" t="s">
        <v>461</v>
      </c>
      <c r="M1026" s="76" t="s">
        <v>457</v>
      </c>
      <c r="N1026" s="76">
        <v>70</v>
      </c>
      <c r="O1026" s="76">
        <v>68</v>
      </c>
      <c r="P1026" s="78">
        <v>2.86E-2</v>
      </c>
    </row>
    <row r="1027" spans="7:16" x14ac:dyDescent="0.3">
      <c r="G1027" t="s">
        <v>2401</v>
      </c>
      <c r="H1027" s="76" t="s">
        <v>845</v>
      </c>
      <c r="I1027" s="76" t="s">
        <v>846</v>
      </c>
      <c r="J1027" s="76" t="s">
        <v>360</v>
      </c>
      <c r="K1027" s="76" t="s">
        <v>1365</v>
      </c>
      <c r="L1027" s="76" t="s">
        <v>461</v>
      </c>
      <c r="M1027" s="76" t="s">
        <v>1240</v>
      </c>
      <c r="N1027" s="76">
        <v>70</v>
      </c>
      <c r="O1027" s="76">
        <v>66</v>
      </c>
      <c r="P1027" s="78">
        <v>5.7099999999999998E-2</v>
      </c>
    </row>
    <row r="1028" spans="7:16" x14ac:dyDescent="0.3">
      <c r="G1028" t="s">
        <v>2402</v>
      </c>
      <c r="H1028" s="76" t="s">
        <v>615</v>
      </c>
      <c r="I1028" s="76" t="s">
        <v>400</v>
      </c>
      <c r="J1028" s="76" t="s">
        <v>372</v>
      </c>
      <c r="K1028" s="76" t="s">
        <v>1309</v>
      </c>
      <c r="L1028" s="76" t="s">
        <v>379</v>
      </c>
      <c r="M1028" s="76" t="s">
        <v>1524</v>
      </c>
      <c r="N1028" s="76">
        <v>150</v>
      </c>
      <c r="O1028" s="76">
        <v>144</v>
      </c>
      <c r="P1028" s="78">
        <v>0.04</v>
      </c>
    </row>
    <row r="1029" spans="7:16" x14ac:dyDescent="0.3">
      <c r="G1029" t="s">
        <v>2403</v>
      </c>
      <c r="H1029" s="76" t="s">
        <v>429</v>
      </c>
      <c r="I1029" s="76" t="s">
        <v>430</v>
      </c>
      <c r="J1029" s="76" t="s">
        <v>384</v>
      </c>
      <c r="K1029" s="76" t="s">
        <v>2404</v>
      </c>
      <c r="L1029" s="76" t="s">
        <v>461</v>
      </c>
      <c r="M1029" s="76" t="s">
        <v>1209</v>
      </c>
      <c r="N1029" s="76">
        <v>70</v>
      </c>
      <c r="O1029" s="76">
        <v>65</v>
      </c>
      <c r="P1029" s="78">
        <v>7.1400000000000005E-2</v>
      </c>
    </row>
    <row r="1030" spans="7:16" x14ac:dyDescent="0.3">
      <c r="G1030" t="s">
        <v>2405</v>
      </c>
      <c r="H1030" s="76" t="s">
        <v>485</v>
      </c>
      <c r="I1030" s="76" t="s">
        <v>389</v>
      </c>
      <c r="J1030" s="76" t="s">
        <v>384</v>
      </c>
      <c r="K1030" s="76" t="s">
        <v>1004</v>
      </c>
      <c r="L1030" s="76" t="s">
        <v>411</v>
      </c>
      <c r="M1030" s="76" t="s">
        <v>1673</v>
      </c>
      <c r="N1030" s="76">
        <v>1000</v>
      </c>
      <c r="O1030" s="76">
        <v>630</v>
      </c>
      <c r="P1030" s="78">
        <v>0.37</v>
      </c>
    </row>
    <row r="1031" spans="7:16" x14ac:dyDescent="0.3">
      <c r="G1031" t="s">
        <v>2406</v>
      </c>
      <c r="H1031" s="76" t="s">
        <v>519</v>
      </c>
      <c r="I1031" s="76" t="s">
        <v>520</v>
      </c>
      <c r="J1031" s="76" t="s">
        <v>360</v>
      </c>
      <c r="K1031" s="76" t="s">
        <v>2407</v>
      </c>
      <c r="L1031" s="76" t="s">
        <v>379</v>
      </c>
      <c r="M1031" s="76" t="s">
        <v>1416</v>
      </c>
      <c r="N1031" s="76">
        <v>150</v>
      </c>
      <c r="O1031" s="76">
        <v>113</v>
      </c>
      <c r="P1031" s="78">
        <v>0.2467</v>
      </c>
    </row>
    <row r="1032" spans="7:16" x14ac:dyDescent="0.3">
      <c r="G1032" t="s">
        <v>2408</v>
      </c>
      <c r="H1032" s="76" t="s">
        <v>551</v>
      </c>
      <c r="I1032" s="76" t="s">
        <v>552</v>
      </c>
      <c r="J1032" s="76" t="s">
        <v>360</v>
      </c>
      <c r="K1032" s="76" t="s">
        <v>2409</v>
      </c>
      <c r="L1032" s="76" t="s">
        <v>424</v>
      </c>
      <c r="M1032" s="76" t="s">
        <v>2255</v>
      </c>
      <c r="N1032" s="76">
        <v>500</v>
      </c>
      <c r="O1032" s="76">
        <v>490</v>
      </c>
      <c r="P1032" s="78">
        <v>0.02</v>
      </c>
    </row>
    <row r="1033" spans="7:16" x14ac:dyDescent="0.3">
      <c r="G1033" t="s">
        <v>2410</v>
      </c>
      <c r="H1033" s="76" t="s">
        <v>464</v>
      </c>
      <c r="I1033" s="76" t="s">
        <v>465</v>
      </c>
      <c r="J1033" s="76" t="s">
        <v>366</v>
      </c>
      <c r="K1033" s="76" t="s">
        <v>2411</v>
      </c>
      <c r="L1033" s="76" t="s">
        <v>385</v>
      </c>
      <c r="M1033" s="76" t="s">
        <v>786</v>
      </c>
      <c r="N1033" s="76">
        <v>50</v>
      </c>
      <c r="O1033" s="76">
        <v>46</v>
      </c>
      <c r="P1033" s="78">
        <v>0.08</v>
      </c>
    </row>
    <row r="1034" spans="7:16" x14ac:dyDescent="0.3">
      <c r="G1034" t="s">
        <v>2412</v>
      </c>
      <c r="H1034" s="76" t="s">
        <v>668</v>
      </c>
      <c r="I1034" s="76" t="s">
        <v>669</v>
      </c>
      <c r="J1034" s="76" t="s">
        <v>360</v>
      </c>
      <c r="K1034" s="76" t="s">
        <v>1206</v>
      </c>
      <c r="L1034" s="76" t="s">
        <v>373</v>
      </c>
      <c r="M1034" s="76" t="s">
        <v>1385</v>
      </c>
      <c r="N1034" s="76">
        <v>700</v>
      </c>
      <c r="O1034" s="76">
        <v>672</v>
      </c>
      <c r="P1034" s="78">
        <v>0.04</v>
      </c>
    </row>
    <row r="1035" spans="7:16" x14ac:dyDescent="0.3">
      <c r="G1035" t="s">
        <v>2413</v>
      </c>
      <c r="H1035" s="76" t="s">
        <v>454</v>
      </c>
      <c r="I1035" s="76" t="s">
        <v>455</v>
      </c>
      <c r="J1035" s="76" t="s">
        <v>360</v>
      </c>
      <c r="K1035" s="77">
        <v>42952</v>
      </c>
      <c r="L1035" s="76" t="s">
        <v>483</v>
      </c>
      <c r="M1035" s="76" t="s">
        <v>1772</v>
      </c>
      <c r="N1035" s="76">
        <v>50</v>
      </c>
      <c r="O1035" s="76">
        <v>48</v>
      </c>
      <c r="P1035" s="78">
        <v>0.04</v>
      </c>
    </row>
    <row r="1036" spans="7:16" x14ac:dyDescent="0.3">
      <c r="G1036" t="s">
        <v>2414</v>
      </c>
      <c r="H1036" s="76" t="s">
        <v>497</v>
      </c>
      <c r="I1036" s="76" t="s">
        <v>445</v>
      </c>
      <c r="J1036" s="76" t="s">
        <v>384</v>
      </c>
      <c r="K1036" s="76" t="s">
        <v>2415</v>
      </c>
      <c r="L1036" s="76" t="s">
        <v>424</v>
      </c>
      <c r="M1036" s="76" t="s">
        <v>1312</v>
      </c>
      <c r="N1036" s="76">
        <v>500</v>
      </c>
      <c r="O1036" s="76">
        <v>490</v>
      </c>
      <c r="P1036" s="78">
        <v>0.02</v>
      </c>
    </row>
    <row r="1037" spans="7:16" x14ac:dyDescent="0.3">
      <c r="G1037" t="s">
        <v>2416</v>
      </c>
      <c r="H1037" s="76" t="s">
        <v>591</v>
      </c>
      <c r="I1037" s="76" t="s">
        <v>592</v>
      </c>
      <c r="J1037" s="76" t="s">
        <v>372</v>
      </c>
      <c r="K1037" s="77">
        <v>42311</v>
      </c>
      <c r="L1037" s="76" t="s">
        <v>461</v>
      </c>
      <c r="M1037" s="76" t="s">
        <v>1277</v>
      </c>
      <c r="N1037" s="76">
        <v>70</v>
      </c>
      <c r="O1037" s="76">
        <v>58</v>
      </c>
      <c r="P1037" s="78">
        <v>0.1714</v>
      </c>
    </row>
    <row r="1038" spans="7:16" x14ac:dyDescent="0.3">
      <c r="G1038" t="s">
        <v>2417</v>
      </c>
      <c r="H1038" s="76" t="s">
        <v>547</v>
      </c>
      <c r="I1038" s="76" t="s">
        <v>548</v>
      </c>
      <c r="J1038" s="76" t="s">
        <v>360</v>
      </c>
      <c r="K1038" s="76" t="s">
        <v>1406</v>
      </c>
      <c r="L1038" s="76" t="s">
        <v>461</v>
      </c>
      <c r="M1038" s="76" t="s">
        <v>1567</v>
      </c>
      <c r="N1038" s="76">
        <v>70</v>
      </c>
      <c r="O1038" s="76">
        <v>60</v>
      </c>
      <c r="P1038" s="78">
        <v>0.1429</v>
      </c>
    </row>
    <row r="1039" spans="7:16" x14ac:dyDescent="0.3">
      <c r="G1039" t="s">
        <v>2418</v>
      </c>
      <c r="H1039" s="76" t="s">
        <v>619</v>
      </c>
      <c r="I1039" s="76" t="s">
        <v>620</v>
      </c>
      <c r="J1039" s="76" t="s">
        <v>372</v>
      </c>
      <c r="K1039" s="77">
        <v>41768</v>
      </c>
      <c r="L1039" s="76" t="s">
        <v>405</v>
      </c>
      <c r="M1039" s="76" t="s">
        <v>1142</v>
      </c>
      <c r="N1039" s="76">
        <v>800</v>
      </c>
      <c r="O1039" s="76">
        <v>688</v>
      </c>
      <c r="P1039" s="78">
        <v>0.14000000000000001</v>
      </c>
    </row>
    <row r="1040" spans="7:16" x14ac:dyDescent="0.3">
      <c r="G1040" t="s">
        <v>2419</v>
      </c>
      <c r="H1040" s="76" t="s">
        <v>514</v>
      </c>
      <c r="I1040" s="76" t="s">
        <v>515</v>
      </c>
      <c r="J1040" s="76" t="s">
        <v>360</v>
      </c>
      <c r="K1040" s="76" t="s">
        <v>2420</v>
      </c>
      <c r="L1040" s="76" t="s">
        <v>475</v>
      </c>
      <c r="M1040" s="76" t="s">
        <v>2073</v>
      </c>
      <c r="N1040" s="76">
        <v>250</v>
      </c>
      <c r="O1040" s="76">
        <v>155</v>
      </c>
      <c r="P1040" s="78">
        <v>0.38</v>
      </c>
    </row>
    <row r="1041" spans="7:16" x14ac:dyDescent="0.3">
      <c r="G1041" t="s">
        <v>2421</v>
      </c>
      <c r="H1041" s="76" t="s">
        <v>438</v>
      </c>
      <c r="I1041" s="76" t="s">
        <v>439</v>
      </c>
      <c r="J1041" s="76" t="s">
        <v>360</v>
      </c>
      <c r="K1041" s="77">
        <v>41920</v>
      </c>
      <c r="L1041" s="76" t="s">
        <v>373</v>
      </c>
      <c r="M1041" s="76" t="s">
        <v>769</v>
      </c>
      <c r="N1041" s="76">
        <v>700</v>
      </c>
      <c r="O1041" s="76">
        <v>504</v>
      </c>
      <c r="P1041" s="78">
        <v>0.28000000000000003</v>
      </c>
    </row>
    <row r="1042" spans="7:16" x14ac:dyDescent="0.3">
      <c r="G1042" t="s">
        <v>2422</v>
      </c>
      <c r="H1042" s="76" t="s">
        <v>514</v>
      </c>
      <c r="I1042" s="76" t="s">
        <v>515</v>
      </c>
      <c r="J1042" s="76" t="s">
        <v>360</v>
      </c>
      <c r="K1042" s="76" t="s">
        <v>1941</v>
      </c>
      <c r="L1042" s="76" t="s">
        <v>373</v>
      </c>
      <c r="M1042" s="76" t="s">
        <v>2073</v>
      </c>
      <c r="N1042" s="76">
        <v>700</v>
      </c>
      <c r="O1042" s="76">
        <v>511</v>
      </c>
      <c r="P1042" s="78">
        <v>0.27</v>
      </c>
    </row>
    <row r="1043" spans="7:16" x14ac:dyDescent="0.3">
      <c r="G1043" t="s">
        <v>2423</v>
      </c>
      <c r="H1043" s="76" t="s">
        <v>370</v>
      </c>
      <c r="I1043" s="76" t="s">
        <v>371</v>
      </c>
      <c r="J1043" s="76" t="s">
        <v>372</v>
      </c>
      <c r="K1043" s="76" t="s">
        <v>378</v>
      </c>
      <c r="L1043" s="76" t="s">
        <v>475</v>
      </c>
      <c r="M1043" s="76" t="s">
        <v>2424</v>
      </c>
      <c r="N1043" s="76">
        <v>250</v>
      </c>
      <c r="O1043" s="76">
        <v>250</v>
      </c>
      <c r="P1043" s="78">
        <v>0</v>
      </c>
    </row>
    <row r="1044" spans="7:16" x14ac:dyDescent="0.3">
      <c r="G1044" t="s">
        <v>2425</v>
      </c>
      <c r="H1044" s="76" t="s">
        <v>638</v>
      </c>
      <c r="I1044" s="76" t="s">
        <v>639</v>
      </c>
      <c r="J1044" s="76" t="s">
        <v>360</v>
      </c>
      <c r="K1044" s="76" t="s">
        <v>2426</v>
      </c>
      <c r="L1044" s="76" t="s">
        <v>385</v>
      </c>
      <c r="M1044" s="76" t="s">
        <v>818</v>
      </c>
      <c r="N1044" s="76">
        <v>50</v>
      </c>
      <c r="O1044" s="76">
        <v>50</v>
      </c>
      <c r="P1044" s="78">
        <v>0</v>
      </c>
    </row>
    <row r="1045" spans="7:16" x14ac:dyDescent="0.3">
      <c r="G1045" t="s">
        <v>2427</v>
      </c>
      <c r="H1045" s="76" t="s">
        <v>409</v>
      </c>
      <c r="I1045" s="76" t="s">
        <v>410</v>
      </c>
      <c r="J1045" s="76" t="s">
        <v>360</v>
      </c>
      <c r="K1045" s="76" t="s">
        <v>1039</v>
      </c>
      <c r="L1045" s="76" t="s">
        <v>379</v>
      </c>
      <c r="M1045" s="76" t="s">
        <v>733</v>
      </c>
      <c r="N1045" s="76">
        <v>150</v>
      </c>
      <c r="O1045" s="76">
        <v>135</v>
      </c>
      <c r="P1045" s="78">
        <v>0.1</v>
      </c>
    </row>
    <row r="1046" spans="7:16" x14ac:dyDescent="0.3">
      <c r="G1046" t="s">
        <v>2428</v>
      </c>
      <c r="H1046" s="76" t="s">
        <v>376</v>
      </c>
      <c r="I1046" s="76" t="s">
        <v>377</v>
      </c>
      <c r="J1046" s="76" t="s">
        <v>360</v>
      </c>
      <c r="K1046" s="77">
        <v>43050</v>
      </c>
      <c r="L1046" s="76" t="s">
        <v>461</v>
      </c>
      <c r="M1046" s="76" t="s">
        <v>649</v>
      </c>
      <c r="N1046" s="76">
        <v>70</v>
      </c>
      <c r="O1046" s="76">
        <v>68</v>
      </c>
      <c r="P1046" s="78">
        <v>2.86E-2</v>
      </c>
    </row>
    <row r="1047" spans="7:16" x14ac:dyDescent="0.3">
      <c r="G1047" t="s">
        <v>2429</v>
      </c>
      <c r="H1047" s="76" t="s">
        <v>524</v>
      </c>
      <c r="I1047" s="76" t="s">
        <v>465</v>
      </c>
      <c r="J1047" s="76" t="s">
        <v>366</v>
      </c>
      <c r="K1047" s="77">
        <v>42008</v>
      </c>
      <c r="L1047" s="76" t="s">
        <v>411</v>
      </c>
      <c r="M1047" s="76" t="s">
        <v>1296</v>
      </c>
      <c r="N1047" s="76">
        <v>1000</v>
      </c>
      <c r="O1047" s="76">
        <v>680</v>
      </c>
      <c r="P1047" s="78">
        <v>0.32</v>
      </c>
    </row>
    <row r="1048" spans="7:16" x14ac:dyDescent="0.3">
      <c r="G1048" t="s">
        <v>2430</v>
      </c>
      <c r="H1048" s="76" t="s">
        <v>566</v>
      </c>
      <c r="I1048" s="76" t="s">
        <v>567</v>
      </c>
      <c r="J1048" s="76" t="s">
        <v>360</v>
      </c>
      <c r="K1048" s="76" t="s">
        <v>2017</v>
      </c>
      <c r="L1048" s="76" t="s">
        <v>461</v>
      </c>
      <c r="M1048" s="76" t="s">
        <v>569</v>
      </c>
      <c r="N1048" s="76">
        <v>70</v>
      </c>
      <c r="O1048" s="76">
        <v>65</v>
      </c>
      <c r="P1048" s="78">
        <v>7.1400000000000005E-2</v>
      </c>
    </row>
    <row r="1049" spans="7:16" x14ac:dyDescent="0.3">
      <c r="G1049" t="s">
        <v>2431</v>
      </c>
      <c r="H1049" s="76" t="s">
        <v>519</v>
      </c>
      <c r="I1049" s="76" t="s">
        <v>520</v>
      </c>
      <c r="J1049" s="76" t="s">
        <v>360</v>
      </c>
      <c r="K1049" s="76" t="s">
        <v>451</v>
      </c>
      <c r="L1049" s="76" t="s">
        <v>405</v>
      </c>
      <c r="M1049" s="76" t="s">
        <v>1416</v>
      </c>
      <c r="N1049" s="76">
        <v>800</v>
      </c>
      <c r="O1049" s="76">
        <v>488</v>
      </c>
      <c r="P1049" s="78">
        <v>0.39</v>
      </c>
    </row>
    <row r="1050" spans="7:16" x14ac:dyDescent="0.3">
      <c r="G1050" t="s">
        <v>2432</v>
      </c>
      <c r="H1050" s="76" t="s">
        <v>494</v>
      </c>
      <c r="I1050" s="76" t="s">
        <v>465</v>
      </c>
      <c r="J1050" s="76" t="s">
        <v>366</v>
      </c>
      <c r="K1050" s="77">
        <v>42403</v>
      </c>
      <c r="L1050" s="76" t="s">
        <v>391</v>
      </c>
      <c r="M1050" s="76" t="s">
        <v>947</v>
      </c>
      <c r="N1050" s="76">
        <v>30</v>
      </c>
      <c r="O1050" s="76">
        <v>27</v>
      </c>
      <c r="P1050" s="78">
        <v>0.1</v>
      </c>
    </row>
    <row r="1051" spans="7:16" x14ac:dyDescent="0.3">
      <c r="G1051" t="s">
        <v>2433</v>
      </c>
      <c r="H1051" s="76" t="s">
        <v>394</v>
      </c>
      <c r="I1051" s="76" t="s">
        <v>395</v>
      </c>
      <c r="J1051" s="76" t="s">
        <v>372</v>
      </c>
      <c r="K1051" s="77">
        <v>41951</v>
      </c>
      <c r="L1051" s="76" t="s">
        <v>405</v>
      </c>
      <c r="M1051" s="76" t="s">
        <v>1881</v>
      </c>
      <c r="N1051" s="76">
        <v>800</v>
      </c>
      <c r="O1051" s="76">
        <v>448</v>
      </c>
      <c r="P1051" s="78">
        <v>0.44</v>
      </c>
    </row>
    <row r="1052" spans="7:16" x14ac:dyDescent="0.3">
      <c r="G1052" t="s">
        <v>2434</v>
      </c>
      <c r="H1052" s="76" t="s">
        <v>591</v>
      </c>
      <c r="I1052" s="76" t="s">
        <v>592</v>
      </c>
      <c r="J1052" s="76" t="s">
        <v>372</v>
      </c>
      <c r="K1052" s="76" t="s">
        <v>2435</v>
      </c>
      <c r="L1052" s="76" t="s">
        <v>391</v>
      </c>
      <c r="M1052" s="76" t="s">
        <v>1112</v>
      </c>
      <c r="N1052" s="76">
        <v>30</v>
      </c>
      <c r="O1052" s="76">
        <v>29</v>
      </c>
      <c r="P1052" s="78">
        <v>3.3300000000000003E-2</v>
      </c>
    </row>
    <row r="1053" spans="7:16" x14ac:dyDescent="0.3">
      <c r="G1053" t="s">
        <v>2436</v>
      </c>
      <c r="H1053" s="76" t="s">
        <v>619</v>
      </c>
      <c r="I1053" s="76" t="s">
        <v>620</v>
      </c>
      <c r="J1053" s="76" t="s">
        <v>372</v>
      </c>
      <c r="K1053" s="76" t="s">
        <v>2437</v>
      </c>
      <c r="L1053" s="76" t="s">
        <v>373</v>
      </c>
      <c r="M1053" s="76" t="s">
        <v>621</v>
      </c>
      <c r="N1053" s="76">
        <v>700</v>
      </c>
      <c r="O1053" s="76">
        <v>651</v>
      </c>
      <c r="P1053" s="78">
        <v>7.0000000000000007E-2</v>
      </c>
    </row>
    <row r="1054" spans="7:16" x14ac:dyDescent="0.3">
      <c r="G1054" t="s">
        <v>2438</v>
      </c>
      <c r="H1054" s="76" t="s">
        <v>591</v>
      </c>
      <c r="I1054" s="76" t="s">
        <v>592</v>
      </c>
      <c r="J1054" s="76" t="s">
        <v>372</v>
      </c>
      <c r="K1054" s="77">
        <v>42593</v>
      </c>
      <c r="L1054" s="76" t="s">
        <v>396</v>
      </c>
      <c r="M1054" s="76" t="s">
        <v>1112</v>
      </c>
      <c r="N1054" s="76">
        <v>500</v>
      </c>
      <c r="O1054" s="76">
        <v>470</v>
      </c>
      <c r="P1054" s="78">
        <v>0.06</v>
      </c>
    </row>
    <row r="1055" spans="7:16" x14ac:dyDescent="0.3">
      <c r="G1055" t="s">
        <v>2439</v>
      </c>
      <c r="H1055" s="76" t="s">
        <v>464</v>
      </c>
      <c r="I1055" s="76" t="s">
        <v>465</v>
      </c>
      <c r="J1055" s="76" t="s">
        <v>366</v>
      </c>
      <c r="K1055" s="76" t="s">
        <v>1719</v>
      </c>
      <c r="L1055" s="76" t="s">
        <v>461</v>
      </c>
      <c r="M1055" s="76" t="s">
        <v>1021</v>
      </c>
      <c r="N1055" s="76">
        <v>70</v>
      </c>
      <c r="O1055" s="76">
        <v>67</v>
      </c>
      <c r="P1055" s="78">
        <v>4.2900000000000001E-2</v>
      </c>
    </row>
    <row r="1056" spans="7:16" x14ac:dyDescent="0.3">
      <c r="G1056" t="s">
        <v>2440</v>
      </c>
      <c r="H1056" s="76" t="s">
        <v>514</v>
      </c>
      <c r="I1056" s="76" t="s">
        <v>515</v>
      </c>
      <c r="J1056" s="76" t="s">
        <v>360</v>
      </c>
      <c r="K1056" s="77">
        <v>43170</v>
      </c>
      <c r="L1056" s="76" t="s">
        <v>373</v>
      </c>
      <c r="M1056" s="76" t="s">
        <v>2094</v>
      </c>
      <c r="N1056" s="76">
        <v>700</v>
      </c>
      <c r="O1056" s="76">
        <v>637</v>
      </c>
      <c r="P1056" s="78">
        <v>0.09</v>
      </c>
    </row>
    <row r="1057" spans="7:16" x14ac:dyDescent="0.3">
      <c r="G1057" t="s">
        <v>2441</v>
      </c>
      <c r="H1057" s="76" t="s">
        <v>364</v>
      </c>
      <c r="I1057" s="76" t="s">
        <v>365</v>
      </c>
      <c r="J1057" s="76" t="s">
        <v>366</v>
      </c>
      <c r="K1057" s="76" t="s">
        <v>2442</v>
      </c>
      <c r="L1057" s="76" t="s">
        <v>411</v>
      </c>
      <c r="M1057" s="76" t="s">
        <v>1531</v>
      </c>
      <c r="N1057" s="76">
        <v>1000</v>
      </c>
      <c r="O1057" s="76">
        <v>680</v>
      </c>
      <c r="P1057" s="78">
        <v>0.32</v>
      </c>
    </row>
    <row r="1058" spans="7:16" x14ac:dyDescent="0.3">
      <c r="G1058" t="s">
        <v>2443</v>
      </c>
      <c r="H1058" s="76" t="s">
        <v>478</v>
      </c>
      <c r="I1058" s="76" t="s">
        <v>479</v>
      </c>
      <c r="J1058" s="76" t="s">
        <v>384</v>
      </c>
      <c r="K1058" s="77">
        <v>42467</v>
      </c>
      <c r="L1058" s="76" t="s">
        <v>373</v>
      </c>
      <c r="M1058" s="76" t="s">
        <v>1527</v>
      </c>
      <c r="N1058" s="76">
        <v>700</v>
      </c>
      <c r="O1058" s="76">
        <v>693</v>
      </c>
      <c r="P1058" s="78">
        <v>0.01</v>
      </c>
    </row>
    <row r="1059" spans="7:16" x14ac:dyDescent="0.3">
      <c r="G1059" t="s">
        <v>2444</v>
      </c>
      <c r="H1059" s="76" t="s">
        <v>399</v>
      </c>
      <c r="I1059" s="76" t="s">
        <v>400</v>
      </c>
      <c r="J1059" s="76" t="s">
        <v>372</v>
      </c>
      <c r="K1059" s="76" t="s">
        <v>1739</v>
      </c>
      <c r="L1059" s="76" t="s">
        <v>424</v>
      </c>
      <c r="M1059" s="76" t="s">
        <v>1286</v>
      </c>
      <c r="N1059" s="76">
        <v>500</v>
      </c>
      <c r="O1059" s="76">
        <v>495</v>
      </c>
      <c r="P1059" s="78">
        <v>0.01</v>
      </c>
    </row>
    <row r="1060" spans="7:16" x14ac:dyDescent="0.3">
      <c r="G1060" t="s">
        <v>2445</v>
      </c>
      <c r="H1060" s="76" t="s">
        <v>891</v>
      </c>
      <c r="I1060" s="76" t="s">
        <v>892</v>
      </c>
      <c r="J1060" s="76" t="s">
        <v>372</v>
      </c>
      <c r="K1060" s="76" t="s">
        <v>2446</v>
      </c>
      <c r="L1060" s="76" t="s">
        <v>385</v>
      </c>
      <c r="M1060" s="76" t="s">
        <v>1333</v>
      </c>
      <c r="N1060" s="76">
        <v>50</v>
      </c>
      <c r="O1060" s="76">
        <v>46</v>
      </c>
      <c r="P1060" s="78">
        <v>0.08</v>
      </c>
    </row>
    <row r="1061" spans="7:16" x14ac:dyDescent="0.3">
      <c r="G1061" t="s">
        <v>2447</v>
      </c>
      <c r="H1061" s="76" t="s">
        <v>364</v>
      </c>
      <c r="I1061" s="76" t="s">
        <v>365</v>
      </c>
      <c r="J1061" s="76" t="s">
        <v>366</v>
      </c>
      <c r="K1061" s="77">
        <v>43262</v>
      </c>
      <c r="L1061" s="76" t="s">
        <v>483</v>
      </c>
      <c r="M1061" s="76" t="s">
        <v>1037</v>
      </c>
      <c r="N1061" s="76">
        <v>50</v>
      </c>
      <c r="O1061" s="76">
        <v>49</v>
      </c>
      <c r="P1061" s="78">
        <v>0.02</v>
      </c>
    </row>
    <row r="1062" spans="7:16" x14ac:dyDescent="0.3">
      <c r="G1062" t="s">
        <v>2448</v>
      </c>
      <c r="H1062" s="76" t="s">
        <v>497</v>
      </c>
      <c r="I1062" s="76" t="s">
        <v>445</v>
      </c>
      <c r="J1062" s="76" t="s">
        <v>384</v>
      </c>
      <c r="K1062" s="77">
        <v>42738</v>
      </c>
      <c r="L1062" s="76" t="s">
        <v>396</v>
      </c>
      <c r="M1062" s="76" t="s">
        <v>1819</v>
      </c>
      <c r="N1062" s="76">
        <v>500</v>
      </c>
      <c r="O1062" s="76">
        <v>455</v>
      </c>
      <c r="P1062" s="78">
        <v>0.09</v>
      </c>
    </row>
    <row r="1063" spans="7:16" x14ac:dyDescent="0.3">
      <c r="G1063" t="s">
        <v>2449</v>
      </c>
      <c r="H1063" s="76" t="s">
        <v>409</v>
      </c>
      <c r="I1063" s="76" t="s">
        <v>410</v>
      </c>
      <c r="J1063" s="76" t="s">
        <v>360</v>
      </c>
      <c r="K1063" s="76" t="s">
        <v>2450</v>
      </c>
      <c r="L1063" s="76" t="s">
        <v>424</v>
      </c>
      <c r="M1063" s="76" t="s">
        <v>1668</v>
      </c>
      <c r="N1063" s="76">
        <v>500</v>
      </c>
      <c r="O1063" s="76">
        <v>490</v>
      </c>
      <c r="P1063" s="78">
        <v>0.02</v>
      </c>
    </row>
    <row r="1064" spans="7:16" x14ac:dyDescent="0.3">
      <c r="G1064" t="s">
        <v>2451</v>
      </c>
      <c r="H1064" s="76" t="s">
        <v>364</v>
      </c>
      <c r="I1064" s="76" t="s">
        <v>365</v>
      </c>
      <c r="J1064" s="76" t="s">
        <v>366</v>
      </c>
      <c r="K1064" s="76" t="s">
        <v>1731</v>
      </c>
      <c r="L1064" s="76" t="s">
        <v>483</v>
      </c>
      <c r="M1064" s="76" t="s">
        <v>1531</v>
      </c>
      <c r="N1064" s="76">
        <v>50</v>
      </c>
      <c r="O1064" s="76">
        <v>47</v>
      </c>
      <c r="P1064" s="78">
        <v>0.06</v>
      </c>
    </row>
    <row r="1065" spans="7:16" x14ac:dyDescent="0.3">
      <c r="G1065" t="s">
        <v>2452</v>
      </c>
      <c r="H1065" s="76" t="s">
        <v>438</v>
      </c>
      <c r="I1065" s="76" t="s">
        <v>439</v>
      </c>
      <c r="J1065" s="76" t="s">
        <v>360</v>
      </c>
      <c r="K1065" s="77">
        <v>42096</v>
      </c>
      <c r="L1065" s="76" t="s">
        <v>373</v>
      </c>
      <c r="M1065" s="76" t="s">
        <v>440</v>
      </c>
      <c r="N1065" s="76">
        <v>700</v>
      </c>
      <c r="O1065" s="76">
        <v>665</v>
      </c>
      <c r="P1065" s="78">
        <v>0.05</v>
      </c>
    </row>
    <row r="1066" spans="7:16" x14ac:dyDescent="0.3">
      <c r="G1066" t="s">
        <v>2453</v>
      </c>
      <c r="H1066" s="76" t="s">
        <v>399</v>
      </c>
      <c r="I1066" s="76" t="s">
        <v>400</v>
      </c>
      <c r="J1066" s="76" t="s">
        <v>372</v>
      </c>
      <c r="K1066" s="77">
        <v>43379</v>
      </c>
      <c r="L1066" s="76" t="s">
        <v>483</v>
      </c>
      <c r="M1066" s="76" t="s">
        <v>815</v>
      </c>
      <c r="N1066" s="76">
        <v>50</v>
      </c>
      <c r="O1066" s="76">
        <v>43</v>
      </c>
      <c r="P1066" s="78">
        <v>0.14000000000000001</v>
      </c>
    </row>
    <row r="1067" spans="7:16" x14ac:dyDescent="0.3">
      <c r="G1067" t="s">
        <v>2454</v>
      </c>
      <c r="H1067" s="76" t="s">
        <v>403</v>
      </c>
      <c r="I1067" s="76" t="s">
        <v>404</v>
      </c>
      <c r="J1067" s="76" t="s">
        <v>360</v>
      </c>
      <c r="K1067" s="76" t="s">
        <v>1908</v>
      </c>
      <c r="L1067" s="76" t="s">
        <v>475</v>
      </c>
      <c r="M1067" s="76" t="s">
        <v>1375</v>
      </c>
      <c r="N1067" s="76">
        <v>250</v>
      </c>
      <c r="O1067" s="76">
        <v>243</v>
      </c>
      <c r="P1067" s="78">
        <v>2.8000000000000001E-2</v>
      </c>
    </row>
    <row r="1068" spans="7:16" x14ac:dyDescent="0.3">
      <c r="G1068" t="s">
        <v>2455</v>
      </c>
      <c r="H1068" s="76" t="s">
        <v>489</v>
      </c>
      <c r="I1068" s="76" t="s">
        <v>490</v>
      </c>
      <c r="J1068" s="76" t="s">
        <v>360</v>
      </c>
      <c r="K1068" s="77">
        <v>42441</v>
      </c>
      <c r="L1068" s="76" t="s">
        <v>361</v>
      </c>
      <c r="M1068" s="76" t="s">
        <v>1025</v>
      </c>
      <c r="N1068" s="76">
        <v>80</v>
      </c>
      <c r="O1068" s="76">
        <v>79</v>
      </c>
      <c r="P1068" s="78">
        <v>1.2500000000000001E-2</v>
      </c>
    </row>
    <row r="1069" spans="7:16" x14ac:dyDescent="0.3">
      <c r="G1069" t="s">
        <v>2456</v>
      </c>
      <c r="H1069" s="76" t="s">
        <v>454</v>
      </c>
      <c r="I1069" s="76" t="s">
        <v>455</v>
      </c>
      <c r="J1069" s="76" t="s">
        <v>360</v>
      </c>
      <c r="K1069" s="76" t="s">
        <v>571</v>
      </c>
      <c r="L1069" s="76" t="s">
        <v>475</v>
      </c>
      <c r="M1069" s="76" t="s">
        <v>1318</v>
      </c>
      <c r="N1069" s="76">
        <v>250</v>
      </c>
      <c r="O1069" s="76">
        <v>230</v>
      </c>
      <c r="P1069" s="78">
        <v>0.08</v>
      </c>
    </row>
    <row r="1070" spans="7:16" x14ac:dyDescent="0.3">
      <c r="G1070" t="s">
        <v>2457</v>
      </c>
      <c r="H1070" s="76" t="s">
        <v>364</v>
      </c>
      <c r="I1070" s="76" t="s">
        <v>365</v>
      </c>
      <c r="J1070" s="76" t="s">
        <v>366</v>
      </c>
      <c r="K1070" s="76" t="s">
        <v>2458</v>
      </c>
      <c r="L1070" s="76" t="s">
        <v>461</v>
      </c>
      <c r="M1070" s="76" t="s">
        <v>952</v>
      </c>
      <c r="N1070" s="76">
        <v>70</v>
      </c>
      <c r="O1070" s="76">
        <v>67</v>
      </c>
      <c r="P1070" s="78">
        <v>4.2900000000000001E-2</v>
      </c>
    </row>
    <row r="1071" spans="7:16" x14ac:dyDescent="0.3">
      <c r="G1071" t="s">
        <v>2459</v>
      </c>
      <c r="H1071" s="76" t="s">
        <v>434</v>
      </c>
      <c r="I1071" s="76" t="s">
        <v>435</v>
      </c>
      <c r="J1071" s="76" t="s">
        <v>360</v>
      </c>
      <c r="K1071" s="76" t="s">
        <v>2460</v>
      </c>
      <c r="L1071" s="76" t="s">
        <v>475</v>
      </c>
      <c r="M1071" s="76" t="s">
        <v>1055</v>
      </c>
      <c r="N1071" s="76">
        <v>250</v>
      </c>
      <c r="O1071" s="76">
        <v>213</v>
      </c>
      <c r="P1071" s="78">
        <v>0.14799999999999999</v>
      </c>
    </row>
    <row r="1072" spans="7:16" x14ac:dyDescent="0.3">
      <c r="G1072" t="s">
        <v>2461</v>
      </c>
      <c r="H1072" s="76" t="s">
        <v>449</v>
      </c>
      <c r="I1072" s="76" t="s">
        <v>450</v>
      </c>
      <c r="J1072" s="76" t="s">
        <v>360</v>
      </c>
      <c r="K1072" s="76" t="s">
        <v>2462</v>
      </c>
      <c r="L1072" s="76" t="s">
        <v>361</v>
      </c>
      <c r="M1072" s="76" t="s">
        <v>2019</v>
      </c>
      <c r="N1072" s="76">
        <v>80</v>
      </c>
      <c r="O1072" s="76">
        <v>79</v>
      </c>
      <c r="P1072" s="78">
        <v>1.2500000000000001E-2</v>
      </c>
    </row>
    <row r="1073" spans="7:16" x14ac:dyDescent="0.3">
      <c r="G1073" t="s">
        <v>2463</v>
      </c>
      <c r="H1073" s="76" t="s">
        <v>566</v>
      </c>
      <c r="I1073" s="76" t="s">
        <v>567</v>
      </c>
      <c r="J1073" s="76" t="s">
        <v>360</v>
      </c>
      <c r="K1073" s="76" t="s">
        <v>1846</v>
      </c>
      <c r="L1073" s="76" t="s">
        <v>411</v>
      </c>
      <c r="M1073" s="76" t="s">
        <v>1227</v>
      </c>
      <c r="N1073" s="76">
        <v>1000</v>
      </c>
      <c r="O1073" s="76">
        <v>700</v>
      </c>
      <c r="P1073" s="78">
        <v>0.3</v>
      </c>
    </row>
    <row r="1074" spans="7:16" x14ac:dyDescent="0.3">
      <c r="G1074" t="s">
        <v>2464</v>
      </c>
      <c r="H1074" s="76" t="s">
        <v>611</v>
      </c>
      <c r="I1074" s="76" t="s">
        <v>389</v>
      </c>
      <c r="J1074" s="76" t="s">
        <v>384</v>
      </c>
      <c r="K1074" s="77">
        <v>42554</v>
      </c>
      <c r="L1074" s="76" t="s">
        <v>396</v>
      </c>
      <c r="M1074" s="76" t="s">
        <v>1729</v>
      </c>
      <c r="N1074" s="76">
        <v>500</v>
      </c>
      <c r="O1074" s="76">
        <v>445</v>
      </c>
      <c r="P1074" s="78">
        <v>0.11</v>
      </c>
    </row>
    <row r="1075" spans="7:16" x14ac:dyDescent="0.3">
      <c r="G1075" t="s">
        <v>2465</v>
      </c>
      <c r="H1075" s="76" t="s">
        <v>459</v>
      </c>
      <c r="I1075" s="76" t="s">
        <v>422</v>
      </c>
      <c r="J1075" s="76" t="s">
        <v>384</v>
      </c>
      <c r="K1075" s="77">
        <v>43073</v>
      </c>
      <c r="L1075" s="76" t="s">
        <v>483</v>
      </c>
      <c r="M1075" s="76" t="s">
        <v>462</v>
      </c>
      <c r="N1075" s="76">
        <v>50</v>
      </c>
      <c r="O1075" s="76">
        <v>47</v>
      </c>
      <c r="P1075" s="78">
        <v>0.06</v>
      </c>
    </row>
    <row r="1076" spans="7:16" x14ac:dyDescent="0.3">
      <c r="G1076" t="s">
        <v>2466</v>
      </c>
      <c r="H1076" s="76" t="s">
        <v>638</v>
      </c>
      <c r="I1076" s="76" t="s">
        <v>639</v>
      </c>
      <c r="J1076" s="76" t="s">
        <v>360</v>
      </c>
      <c r="K1076" s="76" t="s">
        <v>2467</v>
      </c>
      <c r="L1076" s="76" t="s">
        <v>379</v>
      </c>
      <c r="M1076" s="76" t="s">
        <v>782</v>
      </c>
      <c r="N1076" s="76">
        <v>150</v>
      </c>
      <c r="O1076" s="76">
        <v>131</v>
      </c>
      <c r="P1076" s="78">
        <v>0.12670000000000001</v>
      </c>
    </row>
    <row r="1077" spans="7:16" x14ac:dyDescent="0.3">
      <c r="G1077" t="s">
        <v>2468</v>
      </c>
      <c r="H1077" s="76" t="s">
        <v>638</v>
      </c>
      <c r="I1077" s="76" t="s">
        <v>639</v>
      </c>
      <c r="J1077" s="76" t="s">
        <v>360</v>
      </c>
      <c r="K1077" s="76" t="s">
        <v>2469</v>
      </c>
      <c r="L1077" s="76" t="s">
        <v>373</v>
      </c>
      <c r="M1077" s="76" t="s">
        <v>1148</v>
      </c>
      <c r="N1077" s="76">
        <v>700</v>
      </c>
      <c r="O1077" s="76">
        <v>616</v>
      </c>
      <c r="P1077" s="78">
        <v>0.12</v>
      </c>
    </row>
    <row r="1078" spans="7:16" x14ac:dyDescent="0.3">
      <c r="G1078" t="s">
        <v>2470</v>
      </c>
      <c r="H1078" s="76" t="s">
        <v>497</v>
      </c>
      <c r="I1078" s="76" t="s">
        <v>445</v>
      </c>
      <c r="J1078" s="76" t="s">
        <v>384</v>
      </c>
      <c r="K1078" s="76" t="s">
        <v>508</v>
      </c>
      <c r="L1078" s="76" t="s">
        <v>385</v>
      </c>
      <c r="M1078" s="76" t="s">
        <v>1450</v>
      </c>
      <c r="N1078" s="76">
        <v>50</v>
      </c>
      <c r="O1078" s="76">
        <v>46</v>
      </c>
      <c r="P1078" s="78">
        <v>0.08</v>
      </c>
    </row>
    <row r="1079" spans="7:16" x14ac:dyDescent="0.3">
      <c r="G1079" t="s">
        <v>2471</v>
      </c>
      <c r="H1079" s="76" t="s">
        <v>478</v>
      </c>
      <c r="I1079" s="76" t="s">
        <v>479</v>
      </c>
      <c r="J1079" s="76" t="s">
        <v>384</v>
      </c>
      <c r="K1079" s="76" t="s">
        <v>1251</v>
      </c>
      <c r="L1079" s="76" t="s">
        <v>396</v>
      </c>
      <c r="M1079" s="76" t="s">
        <v>480</v>
      </c>
      <c r="N1079" s="76">
        <v>500</v>
      </c>
      <c r="O1079" s="76">
        <v>480</v>
      </c>
      <c r="P1079" s="78">
        <v>0.04</v>
      </c>
    </row>
    <row r="1080" spans="7:16" x14ac:dyDescent="0.3">
      <c r="G1080" t="s">
        <v>2472</v>
      </c>
      <c r="H1080" s="76" t="s">
        <v>444</v>
      </c>
      <c r="I1080" s="76" t="s">
        <v>445</v>
      </c>
      <c r="J1080" s="76" t="s">
        <v>384</v>
      </c>
      <c r="K1080" s="77">
        <v>42008</v>
      </c>
      <c r="L1080" s="76" t="s">
        <v>483</v>
      </c>
      <c r="M1080" s="76" t="s">
        <v>975</v>
      </c>
      <c r="N1080" s="76">
        <v>50</v>
      </c>
      <c r="O1080" s="76">
        <v>47</v>
      </c>
      <c r="P1080" s="78">
        <v>0.06</v>
      </c>
    </row>
    <row r="1081" spans="7:16" x14ac:dyDescent="0.3">
      <c r="G1081" t="s">
        <v>2473</v>
      </c>
      <c r="H1081" s="76" t="s">
        <v>403</v>
      </c>
      <c r="I1081" s="76" t="s">
        <v>404</v>
      </c>
      <c r="J1081" s="76" t="s">
        <v>360</v>
      </c>
      <c r="K1081" s="77">
        <v>42131</v>
      </c>
      <c r="L1081" s="76" t="s">
        <v>379</v>
      </c>
      <c r="M1081" s="76" t="s">
        <v>406</v>
      </c>
      <c r="N1081" s="76">
        <v>150</v>
      </c>
      <c r="O1081" s="76">
        <v>146</v>
      </c>
      <c r="P1081" s="78">
        <v>2.6700000000000002E-2</v>
      </c>
    </row>
    <row r="1082" spans="7:16" x14ac:dyDescent="0.3">
      <c r="G1082" t="s">
        <v>2474</v>
      </c>
      <c r="H1082" s="76" t="s">
        <v>514</v>
      </c>
      <c r="I1082" s="76" t="s">
        <v>515</v>
      </c>
      <c r="J1082" s="76" t="s">
        <v>360</v>
      </c>
      <c r="K1082" s="77">
        <v>42714</v>
      </c>
      <c r="L1082" s="76" t="s">
        <v>461</v>
      </c>
      <c r="M1082" s="76" t="s">
        <v>2475</v>
      </c>
      <c r="N1082" s="76">
        <v>70</v>
      </c>
      <c r="O1082" s="76">
        <v>67</v>
      </c>
      <c r="P1082" s="78">
        <v>4.2900000000000001E-2</v>
      </c>
    </row>
    <row r="1083" spans="7:16" x14ac:dyDescent="0.3">
      <c r="G1083" t="s">
        <v>2476</v>
      </c>
      <c r="H1083" s="76" t="s">
        <v>478</v>
      </c>
      <c r="I1083" s="76" t="s">
        <v>479</v>
      </c>
      <c r="J1083" s="76" t="s">
        <v>384</v>
      </c>
      <c r="K1083" s="76" t="s">
        <v>491</v>
      </c>
      <c r="L1083" s="76" t="s">
        <v>424</v>
      </c>
      <c r="M1083" s="76" t="s">
        <v>1262</v>
      </c>
      <c r="N1083" s="76">
        <v>500</v>
      </c>
      <c r="O1083" s="76">
        <v>495</v>
      </c>
      <c r="P1083" s="78">
        <v>0.01</v>
      </c>
    </row>
    <row r="1084" spans="7:16" x14ac:dyDescent="0.3">
      <c r="G1084" t="s">
        <v>2477</v>
      </c>
      <c r="H1084" s="76" t="s">
        <v>429</v>
      </c>
      <c r="I1084" s="76" t="s">
        <v>430</v>
      </c>
      <c r="J1084" s="76" t="s">
        <v>384</v>
      </c>
      <c r="K1084" s="76" t="s">
        <v>1985</v>
      </c>
      <c r="L1084" s="76" t="s">
        <v>461</v>
      </c>
      <c r="M1084" s="76" t="s">
        <v>740</v>
      </c>
      <c r="N1084" s="76">
        <v>70</v>
      </c>
      <c r="O1084" s="76">
        <v>57</v>
      </c>
      <c r="P1084" s="78">
        <v>0.1857</v>
      </c>
    </row>
    <row r="1085" spans="7:16" x14ac:dyDescent="0.3">
      <c r="G1085" t="s">
        <v>2478</v>
      </c>
      <c r="H1085" s="76" t="s">
        <v>668</v>
      </c>
      <c r="I1085" s="76" t="s">
        <v>669</v>
      </c>
      <c r="J1085" s="76" t="s">
        <v>360</v>
      </c>
      <c r="K1085" s="77">
        <v>43350</v>
      </c>
      <c r="L1085" s="76" t="s">
        <v>483</v>
      </c>
      <c r="M1085" s="76" t="s">
        <v>804</v>
      </c>
      <c r="N1085" s="76">
        <v>50</v>
      </c>
      <c r="O1085" s="76">
        <v>47</v>
      </c>
      <c r="P1085" s="78">
        <v>0.06</v>
      </c>
    </row>
    <row r="1086" spans="7:16" x14ac:dyDescent="0.3">
      <c r="G1086" t="s">
        <v>2479</v>
      </c>
      <c r="H1086" s="76" t="s">
        <v>638</v>
      </c>
      <c r="I1086" s="76" t="s">
        <v>639</v>
      </c>
      <c r="J1086" s="76" t="s">
        <v>360</v>
      </c>
      <c r="K1086" s="77">
        <v>41646</v>
      </c>
      <c r="L1086" s="76" t="s">
        <v>379</v>
      </c>
      <c r="M1086" s="76" t="s">
        <v>698</v>
      </c>
      <c r="N1086" s="76">
        <v>150</v>
      </c>
      <c r="O1086" s="76">
        <v>125</v>
      </c>
      <c r="P1086" s="78">
        <v>0.16669999999999999</v>
      </c>
    </row>
    <row r="1087" spans="7:16" x14ac:dyDescent="0.3">
      <c r="G1087" t="s">
        <v>2480</v>
      </c>
      <c r="H1087" s="76" t="s">
        <v>382</v>
      </c>
      <c r="I1087" s="76" t="s">
        <v>383</v>
      </c>
      <c r="J1087" s="76" t="s">
        <v>384</v>
      </c>
      <c r="K1087" s="77">
        <v>42074</v>
      </c>
      <c r="L1087" s="76" t="s">
        <v>385</v>
      </c>
      <c r="M1087" s="76" t="s">
        <v>533</v>
      </c>
      <c r="N1087" s="76">
        <v>50</v>
      </c>
      <c r="O1087" s="76">
        <v>34</v>
      </c>
      <c r="P1087" s="78">
        <v>0.32</v>
      </c>
    </row>
    <row r="1088" spans="7:16" x14ac:dyDescent="0.3">
      <c r="G1088" t="s">
        <v>2481</v>
      </c>
      <c r="H1088" s="76" t="s">
        <v>388</v>
      </c>
      <c r="I1088" s="76" t="s">
        <v>389</v>
      </c>
      <c r="J1088" s="76" t="s">
        <v>384</v>
      </c>
      <c r="K1088" s="77">
        <v>41700</v>
      </c>
      <c r="L1088" s="76" t="s">
        <v>373</v>
      </c>
      <c r="M1088" s="76" t="s">
        <v>2482</v>
      </c>
      <c r="N1088" s="76">
        <v>700</v>
      </c>
      <c r="O1088" s="76">
        <v>539</v>
      </c>
      <c r="P1088" s="78">
        <v>0.23</v>
      </c>
    </row>
    <row r="1089" spans="7:16" x14ac:dyDescent="0.3">
      <c r="G1089" t="s">
        <v>2483</v>
      </c>
      <c r="H1089" s="76" t="s">
        <v>891</v>
      </c>
      <c r="I1089" s="76" t="s">
        <v>892</v>
      </c>
      <c r="J1089" s="76" t="s">
        <v>372</v>
      </c>
      <c r="K1089" s="76" t="s">
        <v>2484</v>
      </c>
      <c r="L1089" s="76" t="s">
        <v>373</v>
      </c>
      <c r="M1089" s="76" t="s">
        <v>1421</v>
      </c>
      <c r="N1089" s="76">
        <v>700</v>
      </c>
      <c r="O1089" s="76">
        <v>693</v>
      </c>
      <c r="P1089" s="78">
        <v>0.01</v>
      </c>
    </row>
    <row r="1090" spans="7:16" x14ac:dyDescent="0.3">
      <c r="G1090" t="s">
        <v>2485</v>
      </c>
      <c r="H1090" s="76" t="s">
        <v>358</v>
      </c>
      <c r="I1090" s="76" t="s">
        <v>359</v>
      </c>
      <c r="J1090" s="76" t="s">
        <v>360</v>
      </c>
      <c r="K1090" s="76" t="s">
        <v>2486</v>
      </c>
      <c r="L1090" s="76" t="s">
        <v>379</v>
      </c>
      <c r="M1090" s="76" t="s">
        <v>575</v>
      </c>
      <c r="N1090" s="76">
        <v>150</v>
      </c>
      <c r="O1090" s="76">
        <v>147</v>
      </c>
      <c r="P1090" s="78">
        <v>0.02</v>
      </c>
    </row>
    <row r="1091" spans="7:16" x14ac:dyDescent="0.3">
      <c r="G1091" t="s">
        <v>2487</v>
      </c>
      <c r="H1091" s="76" t="s">
        <v>551</v>
      </c>
      <c r="I1091" s="76" t="s">
        <v>552</v>
      </c>
      <c r="J1091" s="76" t="s">
        <v>360</v>
      </c>
      <c r="K1091" s="77">
        <v>41705</v>
      </c>
      <c r="L1091" s="76" t="s">
        <v>483</v>
      </c>
      <c r="M1091" s="76" t="s">
        <v>1366</v>
      </c>
      <c r="N1091" s="76">
        <v>50</v>
      </c>
      <c r="O1091" s="76">
        <v>42</v>
      </c>
      <c r="P1091" s="78">
        <v>0.16</v>
      </c>
    </row>
    <row r="1092" spans="7:16" x14ac:dyDescent="0.3">
      <c r="G1092" t="s">
        <v>2488</v>
      </c>
      <c r="H1092" s="76" t="s">
        <v>376</v>
      </c>
      <c r="I1092" s="76" t="s">
        <v>377</v>
      </c>
      <c r="J1092" s="76" t="s">
        <v>360</v>
      </c>
      <c r="K1092" s="76" t="s">
        <v>2489</v>
      </c>
      <c r="L1092" s="76" t="s">
        <v>483</v>
      </c>
      <c r="M1092" s="76" t="s">
        <v>1053</v>
      </c>
      <c r="N1092" s="76">
        <v>50</v>
      </c>
      <c r="O1092" s="76">
        <v>44</v>
      </c>
      <c r="P1092" s="78">
        <v>0.12</v>
      </c>
    </row>
    <row r="1093" spans="7:16" x14ac:dyDescent="0.3">
      <c r="G1093" t="s">
        <v>2490</v>
      </c>
      <c r="H1093" s="76" t="s">
        <v>469</v>
      </c>
      <c r="I1093" s="76" t="s">
        <v>435</v>
      </c>
      <c r="J1093" s="76" t="s">
        <v>360</v>
      </c>
      <c r="K1093" s="77">
        <v>43195</v>
      </c>
      <c r="L1093" s="76" t="s">
        <v>483</v>
      </c>
      <c r="M1093" s="76" t="s">
        <v>471</v>
      </c>
      <c r="N1093" s="76">
        <v>50</v>
      </c>
      <c r="O1093" s="76">
        <v>49</v>
      </c>
      <c r="P1093" s="78">
        <v>0.02</v>
      </c>
    </row>
    <row r="1094" spans="7:16" x14ac:dyDescent="0.3">
      <c r="G1094" t="s">
        <v>2491</v>
      </c>
      <c r="H1094" s="76" t="s">
        <v>358</v>
      </c>
      <c r="I1094" s="76" t="s">
        <v>359</v>
      </c>
      <c r="J1094" s="76" t="s">
        <v>360</v>
      </c>
      <c r="K1094" s="76" t="s">
        <v>955</v>
      </c>
      <c r="L1094" s="76" t="s">
        <v>361</v>
      </c>
      <c r="M1094" s="76" t="s">
        <v>683</v>
      </c>
      <c r="N1094" s="76">
        <v>80</v>
      </c>
      <c r="O1094" s="76">
        <v>78</v>
      </c>
      <c r="P1094" s="78">
        <v>2.5000000000000001E-2</v>
      </c>
    </row>
    <row r="1095" spans="7:16" x14ac:dyDescent="0.3">
      <c r="G1095" t="s">
        <v>2492</v>
      </c>
      <c r="H1095" s="76" t="s">
        <v>700</v>
      </c>
      <c r="I1095" s="76" t="s">
        <v>465</v>
      </c>
      <c r="J1095" s="76" t="s">
        <v>366</v>
      </c>
      <c r="K1095" s="76" t="s">
        <v>2493</v>
      </c>
      <c r="L1095" s="76" t="s">
        <v>483</v>
      </c>
      <c r="M1095" s="76" t="s">
        <v>702</v>
      </c>
      <c r="N1095" s="76">
        <v>50</v>
      </c>
      <c r="O1095" s="76">
        <v>48</v>
      </c>
      <c r="P1095" s="78">
        <v>0.04</v>
      </c>
    </row>
    <row r="1096" spans="7:16" x14ac:dyDescent="0.3">
      <c r="G1096" t="s">
        <v>2494</v>
      </c>
      <c r="H1096" s="76" t="s">
        <v>528</v>
      </c>
      <c r="I1096" s="76" t="s">
        <v>465</v>
      </c>
      <c r="J1096" s="76" t="s">
        <v>366</v>
      </c>
      <c r="K1096" s="76" t="s">
        <v>466</v>
      </c>
      <c r="L1096" s="76" t="s">
        <v>379</v>
      </c>
      <c r="M1096" s="76" t="s">
        <v>933</v>
      </c>
      <c r="N1096" s="76">
        <v>150</v>
      </c>
      <c r="O1096" s="76">
        <v>147</v>
      </c>
      <c r="P1096" s="78">
        <v>0.02</v>
      </c>
    </row>
    <row r="1097" spans="7:16" x14ac:dyDescent="0.3">
      <c r="G1097" t="s">
        <v>2495</v>
      </c>
      <c r="H1097" s="76" t="s">
        <v>403</v>
      </c>
      <c r="I1097" s="76" t="s">
        <v>404</v>
      </c>
      <c r="J1097" s="76" t="s">
        <v>360</v>
      </c>
      <c r="K1097" s="76" t="s">
        <v>2496</v>
      </c>
      <c r="L1097" s="76" t="s">
        <v>411</v>
      </c>
      <c r="M1097" s="76" t="s">
        <v>1919</v>
      </c>
      <c r="N1097" s="76">
        <v>1000</v>
      </c>
      <c r="O1097" s="76">
        <v>620</v>
      </c>
      <c r="P1097" s="78">
        <v>0.38</v>
      </c>
    </row>
    <row r="1098" spans="7:16" x14ac:dyDescent="0.3">
      <c r="G1098" t="s">
        <v>2497</v>
      </c>
      <c r="H1098" s="76" t="s">
        <v>489</v>
      </c>
      <c r="I1098" s="76" t="s">
        <v>490</v>
      </c>
      <c r="J1098" s="76" t="s">
        <v>360</v>
      </c>
      <c r="K1098" s="76" t="s">
        <v>466</v>
      </c>
      <c r="L1098" s="76" t="s">
        <v>424</v>
      </c>
      <c r="M1098" s="76" t="s">
        <v>1539</v>
      </c>
      <c r="N1098" s="76">
        <v>500</v>
      </c>
      <c r="O1098" s="76">
        <v>495</v>
      </c>
      <c r="P1098" s="78">
        <v>0.01</v>
      </c>
    </row>
    <row r="1099" spans="7:16" x14ac:dyDescent="0.3">
      <c r="G1099" t="s">
        <v>2498</v>
      </c>
      <c r="H1099" s="76" t="s">
        <v>611</v>
      </c>
      <c r="I1099" s="76" t="s">
        <v>389</v>
      </c>
      <c r="J1099" s="76" t="s">
        <v>384</v>
      </c>
      <c r="K1099" s="76" t="s">
        <v>2499</v>
      </c>
      <c r="L1099" s="76" t="s">
        <v>483</v>
      </c>
      <c r="M1099" s="76" t="s">
        <v>1729</v>
      </c>
      <c r="N1099" s="76">
        <v>50</v>
      </c>
      <c r="O1099" s="76">
        <v>47</v>
      </c>
      <c r="P1099" s="78">
        <v>0.06</v>
      </c>
    </row>
    <row r="1100" spans="7:16" x14ac:dyDescent="0.3">
      <c r="G1100" t="s">
        <v>2500</v>
      </c>
      <c r="H1100" s="76" t="s">
        <v>497</v>
      </c>
      <c r="I1100" s="76" t="s">
        <v>445</v>
      </c>
      <c r="J1100" s="76" t="s">
        <v>384</v>
      </c>
      <c r="K1100" s="76" t="s">
        <v>2501</v>
      </c>
      <c r="L1100" s="76" t="s">
        <v>405</v>
      </c>
      <c r="M1100" s="76" t="s">
        <v>499</v>
      </c>
      <c r="N1100" s="76">
        <v>800</v>
      </c>
      <c r="O1100" s="76">
        <v>744</v>
      </c>
      <c r="P1100" s="78">
        <v>7.0000000000000007E-2</v>
      </c>
    </row>
    <row r="1101" spans="7:16" x14ac:dyDescent="0.3">
      <c r="G1101" t="s">
        <v>2502</v>
      </c>
      <c r="H1101" s="76" t="s">
        <v>399</v>
      </c>
      <c r="I1101" s="76" t="s">
        <v>400</v>
      </c>
      <c r="J1101" s="76" t="s">
        <v>372</v>
      </c>
      <c r="K1101" s="77">
        <v>43077</v>
      </c>
      <c r="L1101" s="76" t="s">
        <v>396</v>
      </c>
      <c r="M1101" s="76" t="s">
        <v>419</v>
      </c>
      <c r="N1101" s="76">
        <v>500</v>
      </c>
      <c r="O1101" s="76">
        <v>490</v>
      </c>
      <c r="P1101" s="78">
        <v>0.02</v>
      </c>
    </row>
    <row r="1102" spans="7:16" x14ac:dyDescent="0.3">
      <c r="G1102" t="s">
        <v>2503</v>
      </c>
      <c r="H1102" s="76" t="s">
        <v>551</v>
      </c>
      <c r="I1102" s="76" t="s">
        <v>552</v>
      </c>
      <c r="J1102" s="76" t="s">
        <v>360</v>
      </c>
      <c r="K1102" s="76" t="s">
        <v>2339</v>
      </c>
      <c r="L1102" s="76" t="s">
        <v>405</v>
      </c>
      <c r="M1102" s="76" t="s">
        <v>609</v>
      </c>
      <c r="N1102" s="76">
        <v>800</v>
      </c>
      <c r="O1102" s="76">
        <v>576</v>
      </c>
      <c r="P1102" s="78">
        <v>0.28000000000000003</v>
      </c>
    </row>
    <row r="1103" spans="7:16" x14ac:dyDescent="0.3">
      <c r="G1103" t="s">
        <v>2504</v>
      </c>
      <c r="H1103" s="76" t="s">
        <v>514</v>
      </c>
      <c r="I1103" s="76" t="s">
        <v>515</v>
      </c>
      <c r="J1103" s="76" t="s">
        <v>360</v>
      </c>
      <c r="K1103" s="76" t="s">
        <v>2399</v>
      </c>
      <c r="L1103" s="76" t="s">
        <v>396</v>
      </c>
      <c r="M1103" s="76" t="s">
        <v>2505</v>
      </c>
      <c r="N1103" s="76">
        <v>500</v>
      </c>
      <c r="O1103" s="76">
        <v>455</v>
      </c>
      <c r="P1103" s="78">
        <v>0.09</v>
      </c>
    </row>
    <row r="1104" spans="7:16" x14ac:dyDescent="0.3">
      <c r="G1104" t="s">
        <v>2506</v>
      </c>
      <c r="H1104" s="76" t="s">
        <v>619</v>
      </c>
      <c r="I1104" s="76" t="s">
        <v>620</v>
      </c>
      <c r="J1104" s="76" t="s">
        <v>372</v>
      </c>
      <c r="K1104" s="77">
        <v>41828</v>
      </c>
      <c r="L1104" s="76" t="s">
        <v>379</v>
      </c>
      <c r="M1104" s="76" t="s">
        <v>1230</v>
      </c>
      <c r="N1104" s="76">
        <v>150</v>
      </c>
      <c r="O1104" s="76">
        <v>135</v>
      </c>
      <c r="P1104" s="78">
        <v>0.1</v>
      </c>
    </row>
    <row r="1105" spans="7:16" x14ac:dyDescent="0.3">
      <c r="G1105" t="s">
        <v>2507</v>
      </c>
      <c r="H1105" s="76" t="s">
        <v>358</v>
      </c>
      <c r="I1105" s="76" t="s">
        <v>359</v>
      </c>
      <c r="J1105" s="76" t="s">
        <v>360</v>
      </c>
      <c r="K1105" s="76" t="s">
        <v>2508</v>
      </c>
      <c r="L1105" s="76" t="s">
        <v>424</v>
      </c>
      <c r="M1105" s="76" t="s">
        <v>501</v>
      </c>
      <c r="N1105" s="76">
        <v>500</v>
      </c>
      <c r="O1105" s="76">
        <v>490</v>
      </c>
      <c r="P1105" s="78">
        <v>0.02</v>
      </c>
    </row>
    <row r="1106" spans="7:16" x14ac:dyDescent="0.3">
      <c r="G1106" t="s">
        <v>2509</v>
      </c>
      <c r="H1106" s="76" t="s">
        <v>675</v>
      </c>
      <c r="I1106" s="76" t="s">
        <v>676</v>
      </c>
      <c r="J1106" s="76" t="s">
        <v>384</v>
      </c>
      <c r="K1106" s="77">
        <v>41857</v>
      </c>
      <c r="L1106" s="76" t="s">
        <v>424</v>
      </c>
      <c r="M1106" s="76" t="s">
        <v>1395</v>
      </c>
      <c r="N1106" s="76">
        <v>500</v>
      </c>
      <c r="O1106" s="76">
        <v>495</v>
      </c>
      <c r="P1106" s="78">
        <v>0.01</v>
      </c>
    </row>
    <row r="1107" spans="7:16" x14ac:dyDescent="0.3">
      <c r="G1107" t="s">
        <v>2510</v>
      </c>
      <c r="H1107" s="76" t="s">
        <v>409</v>
      </c>
      <c r="I1107" s="76" t="s">
        <v>410</v>
      </c>
      <c r="J1107" s="76" t="s">
        <v>360</v>
      </c>
      <c r="K1107" s="76" t="s">
        <v>2511</v>
      </c>
      <c r="L1107" s="76" t="s">
        <v>483</v>
      </c>
      <c r="M1107" s="76" t="s">
        <v>412</v>
      </c>
      <c r="N1107" s="76">
        <v>50</v>
      </c>
      <c r="O1107" s="76">
        <v>45</v>
      </c>
      <c r="P1107" s="78">
        <v>0.1</v>
      </c>
    </row>
    <row r="1108" spans="7:16" x14ac:dyDescent="0.3">
      <c r="G1108" t="s">
        <v>2512</v>
      </c>
      <c r="H1108" s="76" t="s">
        <v>615</v>
      </c>
      <c r="I1108" s="76" t="s">
        <v>400</v>
      </c>
      <c r="J1108" s="76" t="s">
        <v>372</v>
      </c>
      <c r="K1108" s="76" t="s">
        <v>2513</v>
      </c>
      <c r="L1108" s="76" t="s">
        <v>391</v>
      </c>
      <c r="M1108" s="76" t="s">
        <v>1347</v>
      </c>
      <c r="N1108" s="76">
        <v>30</v>
      </c>
      <c r="O1108" s="76">
        <v>28</v>
      </c>
      <c r="P1108" s="78">
        <v>6.6699999999999995E-2</v>
      </c>
    </row>
    <row r="1109" spans="7:16" x14ac:dyDescent="0.3">
      <c r="G1109" t="s">
        <v>2514</v>
      </c>
      <c r="H1109" s="76" t="s">
        <v>747</v>
      </c>
      <c r="I1109" s="76" t="s">
        <v>748</v>
      </c>
      <c r="J1109" s="76" t="s">
        <v>360</v>
      </c>
      <c r="K1109" s="76" t="s">
        <v>470</v>
      </c>
      <c r="L1109" s="76" t="s">
        <v>405</v>
      </c>
      <c r="M1109" s="76" t="s">
        <v>1542</v>
      </c>
      <c r="N1109" s="76">
        <v>800</v>
      </c>
      <c r="O1109" s="76">
        <v>472</v>
      </c>
      <c r="P1109" s="78">
        <v>0.41</v>
      </c>
    </row>
    <row r="1110" spans="7:16" x14ac:dyDescent="0.3">
      <c r="G1110" t="s">
        <v>2515</v>
      </c>
      <c r="H1110" s="76" t="s">
        <v>514</v>
      </c>
      <c r="I1110" s="76" t="s">
        <v>515</v>
      </c>
      <c r="J1110" s="76" t="s">
        <v>360</v>
      </c>
      <c r="K1110" s="76" t="s">
        <v>2059</v>
      </c>
      <c r="L1110" s="76" t="s">
        <v>411</v>
      </c>
      <c r="M1110" s="76" t="s">
        <v>2094</v>
      </c>
      <c r="N1110" s="76">
        <v>1000</v>
      </c>
      <c r="O1110" s="76">
        <v>680</v>
      </c>
      <c r="P1110" s="78">
        <v>0.32</v>
      </c>
    </row>
    <row r="1111" spans="7:16" x14ac:dyDescent="0.3">
      <c r="G1111" t="s">
        <v>2516</v>
      </c>
      <c r="H1111" s="76" t="s">
        <v>489</v>
      </c>
      <c r="I1111" s="76" t="s">
        <v>490</v>
      </c>
      <c r="J1111" s="76" t="s">
        <v>360</v>
      </c>
      <c r="K1111" s="76" t="s">
        <v>1293</v>
      </c>
      <c r="L1111" s="76" t="s">
        <v>379</v>
      </c>
      <c r="M1111" s="76" t="s">
        <v>627</v>
      </c>
      <c r="N1111" s="76">
        <v>150</v>
      </c>
      <c r="O1111" s="76">
        <v>150</v>
      </c>
      <c r="P1111" s="78">
        <v>0</v>
      </c>
    </row>
    <row r="1112" spans="7:16" x14ac:dyDescent="0.3">
      <c r="G1112" t="s">
        <v>2517</v>
      </c>
      <c r="H1112" s="76" t="s">
        <v>619</v>
      </c>
      <c r="I1112" s="76" t="s">
        <v>620</v>
      </c>
      <c r="J1112" s="76" t="s">
        <v>372</v>
      </c>
      <c r="K1112" s="76" t="s">
        <v>626</v>
      </c>
      <c r="L1112" s="76" t="s">
        <v>391</v>
      </c>
      <c r="M1112" s="76" t="s">
        <v>1433</v>
      </c>
      <c r="N1112" s="76">
        <v>30</v>
      </c>
      <c r="O1112" s="76">
        <v>28</v>
      </c>
      <c r="P1112" s="78">
        <v>6.6699999999999995E-2</v>
      </c>
    </row>
    <row r="1113" spans="7:16" x14ac:dyDescent="0.3">
      <c r="G1113" t="s">
        <v>2518</v>
      </c>
      <c r="H1113" s="76" t="s">
        <v>399</v>
      </c>
      <c r="I1113" s="76" t="s">
        <v>400</v>
      </c>
      <c r="J1113" s="76" t="s">
        <v>372</v>
      </c>
      <c r="K1113" s="77">
        <v>42892</v>
      </c>
      <c r="L1113" s="76" t="s">
        <v>396</v>
      </c>
      <c r="M1113" s="76" t="s">
        <v>1650</v>
      </c>
      <c r="N1113" s="76">
        <v>500</v>
      </c>
      <c r="O1113" s="76">
        <v>450</v>
      </c>
      <c r="P1113" s="78">
        <v>0.1</v>
      </c>
    </row>
    <row r="1114" spans="7:16" x14ac:dyDescent="0.3">
      <c r="G1114" t="s">
        <v>2519</v>
      </c>
      <c r="H1114" s="76" t="s">
        <v>566</v>
      </c>
      <c r="I1114" s="76" t="s">
        <v>567</v>
      </c>
      <c r="J1114" s="76" t="s">
        <v>360</v>
      </c>
      <c r="K1114" s="77">
        <v>43077</v>
      </c>
      <c r="L1114" s="76" t="s">
        <v>379</v>
      </c>
      <c r="M1114" s="76" t="s">
        <v>1227</v>
      </c>
      <c r="N1114" s="76">
        <v>150</v>
      </c>
      <c r="O1114" s="76">
        <v>149</v>
      </c>
      <c r="P1114" s="78">
        <v>6.7000000000000002E-3</v>
      </c>
    </row>
    <row r="1115" spans="7:16" x14ac:dyDescent="0.3">
      <c r="G1115" t="s">
        <v>2520</v>
      </c>
      <c r="H1115" s="76" t="s">
        <v>399</v>
      </c>
      <c r="I1115" s="76" t="s">
        <v>400</v>
      </c>
      <c r="J1115" s="76" t="s">
        <v>372</v>
      </c>
      <c r="K1115" s="77">
        <v>42285</v>
      </c>
      <c r="L1115" s="76" t="s">
        <v>361</v>
      </c>
      <c r="M1115" s="76" t="s">
        <v>1194</v>
      </c>
      <c r="N1115" s="76">
        <v>80</v>
      </c>
      <c r="O1115" s="76">
        <v>53</v>
      </c>
      <c r="P1115" s="78">
        <v>0.33750000000000002</v>
      </c>
    </row>
    <row r="1116" spans="7:16" x14ac:dyDescent="0.3">
      <c r="G1116" t="s">
        <v>2521</v>
      </c>
      <c r="H1116" s="76" t="s">
        <v>358</v>
      </c>
      <c r="I1116" s="76" t="s">
        <v>359</v>
      </c>
      <c r="J1116" s="76" t="s">
        <v>360</v>
      </c>
      <c r="K1116" s="76" t="s">
        <v>1708</v>
      </c>
      <c r="L1116" s="76" t="s">
        <v>396</v>
      </c>
      <c r="M1116" s="76" t="s">
        <v>706</v>
      </c>
      <c r="N1116" s="76">
        <v>500</v>
      </c>
      <c r="O1116" s="76">
        <v>480</v>
      </c>
      <c r="P1116" s="78">
        <v>0.04</v>
      </c>
    </row>
    <row r="1117" spans="7:16" x14ac:dyDescent="0.3">
      <c r="G1117" t="s">
        <v>2522</v>
      </c>
      <c r="H1117" s="76" t="s">
        <v>370</v>
      </c>
      <c r="I1117" s="76" t="s">
        <v>371</v>
      </c>
      <c r="J1117" s="76" t="s">
        <v>372</v>
      </c>
      <c r="K1117" s="77">
        <v>42705</v>
      </c>
      <c r="L1117" s="76" t="s">
        <v>396</v>
      </c>
      <c r="M1117" s="76" t="s">
        <v>1146</v>
      </c>
      <c r="N1117" s="76">
        <v>500</v>
      </c>
      <c r="O1117" s="76">
        <v>495</v>
      </c>
      <c r="P1117" s="78">
        <v>0.01</v>
      </c>
    </row>
    <row r="1118" spans="7:16" x14ac:dyDescent="0.3">
      <c r="G1118" t="s">
        <v>2523</v>
      </c>
      <c r="H1118" s="76" t="s">
        <v>358</v>
      </c>
      <c r="I1118" s="76" t="s">
        <v>359</v>
      </c>
      <c r="J1118" s="76" t="s">
        <v>360</v>
      </c>
      <c r="K1118" s="77">
        <v>41699</v>
      </c>
      <c r="L1118" s="76" t="s">
        <v>483</v>
      </c>
      <c r="M1118" s="76" t="s">
        <v>1858</v>
      </c>
      <c r="N1118" s="76">
        <v>50</v>
      </c>
      <c r="O1118" s="76">
        <v>48</v>
      </c>
      <c r="P1118" s="78">
        <v>0.04</v>
      </c>
    </row>
    <row r="1119" spans="7:16" x14ac:dyDescent="0.3">
      <c r="G1119" t="s">
        <v>2524</v>
      </c>
      <c r="H1119" s="76" t="s">
        <v>591</v>
      </c>
      <c r="I1119" s="76" t="s">
        <v>592</v>
      </c>
      <c r="J1119" s="76" t="s">
        <v>372</v>
      </c>
      <c r="K1119" s="76" t="s">
        <v>1136</v>
      </c>
      <c r="L1119" s="76" t="s">
        <v>385</v>
      </c>
      <c r="M1119" s="76" t="s">
        <v>796</v>
      </c>
      <c r="N1119" s="76">
        <v>50</v>
      </c>
      <c r="O1119" s="76">
        <v>45</v>
      </c>
      <c r="P1119" s="78">
        <v>0.1</v>
      </c>
    </row>
    <row r="1120" spans="7:16" x14ac:dyDescent="0.3">
      <c r="G1120" t="s">
        <v>2525</v>
      </c>
      <c r="H1120" s="76" t="s">
        <v>619</v>
      </c>
      <c r="I1120" s="76" t="s">
        <v>620</v>
      </c>
      <c r="J1120" s="76" t="s">
        <v>372</v>
      </c>
      <c r="K1120" s="76" t="s">
        <v>2526</v>
      </c>
      <c r="L1120" s="76" t="s">
        <v>361</v>
      </c>
      <c r="M1120" s="76" t="s">
        <v>1142</v>
      </c>
      <c r="N1120" s="76">
        <v>80</v>
      </c>
      <c r="O1120" s="76">
        <v>74</v>
      </c>
      <c r="P1120" s="78">
        <v>7.4999999999999997E-2</v>
      </c>
    </row>
    <row r="1121" spans="7:16" x14ac:dyDescent="0.3">
      <c r="G1121" t="s">
        <v>2527</v>
      </c>
      <c r="H1121" s="76" t="s">
        <v>519</v>
      </c>
      <c r="I1121" s="76" t="s">
        <v>520</v>
      </c>
      <c r="J1121" s="76" t="s">
        <v>360</v>
      </c>
      <c r="K1121" s="76" t="s">
        <v>1369</v>
      </c>
      <c r="L1121" s="76" t="s">
        <v>405</v>
      </c>
      <c r="M1121" s="76" t="s">
        <v>522</v>
      </c>
      <c r="N1121" s="76">
        <v>800</v>
      </c>
      <c r="O1121" s="76">
        <v>592</v>
      </c>
      <c r="P1121" s="78">
        <v>0.26</v>
      </c>
    </row>
    <row r="1122" spans="7:16" x14ac:dyDescent="0.3">
      <c r="G1122" t="s">
        <v>2528</v>
      </c>
      <c r="H1122" s="76" t="s">
        <v>469</v>
      </c>
      <c r="I1122" s="76" t="s">
        <v>435</v>
      </c>
      <c r="J1122" s="76" t="s">
        <v>360</v>
      </c>
      <c r="K1122" s="76" t="s">
        <v>2529</v>
      </c>
      <c r="L1122" s="76" t="s">
        <v>361</v>
      </c>
      <c r="M1122" s="76" t="s">
        <v>808</v>
      </c>
      <c r="N1122" s="76">
        <v>80</v>
      </c>
      <c r="O1122" s="76">
        <v>74</v>
      </c>
      <c r="P1122" s="78">
        <v>7.4999999999999997E-2</v>
      </c>
    </row>
    <row r="1123" spans="7:16" x14ac:dyDescent="0.3">
      <c r="G1123" t="s">
        <v>2530</v>
      </c>
      <c r="H1123" s="76" t="s">
        <v>489</v>
      </c>
      <c r="I1123" s="76" t="s">
        <v>490</v>
      </c>
      <c r="J1123" s="76" t="s">
        <v>360</v>
      </c>
      <c r="K1123" s="76" t="s">
        <v>2531</v>
      </c>
      <c r="L1123" s="76" t="s">
        <v>391</v>
      </c>
      <c r="M1123" s="76" t="s">
        <v>1539</v>
      </c>
      <c r="N1123" s="76">
        <v>30</v>
      </c>
      <c r="O1123" s="76">
        <v>20</v>
      </c>
      <c r="P1123" s="78">
        <v>0.33329999999999999</v>
      </c>
    </row>
    <row r="1124" spans="7:16" x14ac:dyDescent="0.3">
      <c r="G1124" t="s">
        <v>2532</v>
      </c>
      <c r="H1124" s="76" t="s">
        <v>394</v>
      </c>
      <c r="I1124" s="76" t="s">
        <v>395</v>
      </c>
      <c r="J1124" s="76" t="s">
        <v>372</v>
      </c>
      <c r="K1124" s="77">
        <v>42741</v>
      </c>
      <c r="L1124" s="76" t="s">
        <v>379</v>
      </c>
      <c r="M1124" s="76" t="s">
        <v>397</v>
      </c>
      <c r="N1124" s="76">
        <v>150</v>
      </c>
      <c r="O1124" s="76">
        <v>138</v>
      </c>
      <c r="P1124" s="78">
        <v>0.08</v>
      </c>
    </row>
    <row r="1125" spans="7:16" x14ac:dyDescent="0.3">
      <c r="G1125" t="s">
        <v>2533</v>
      </c>
      <c r="H1125" s="76" t="s">
        <v>409</v>
      </c>
      <c r="I1125" s="76" t="s">
        <v>410</v>
      </c>
      <c r="J1125" s="76" t="s">
        <v>360</v>
      </c>
      <c r="K1125" s="76" t="s">
        <v>2534</v>
      </c>
      <c r="L1125" s="76" t="s">
        <v>391</v>
      </c>
      <c r="M1125" s="76" t="s">
        <v>733</v>
      </c>
      <c r="N1125" s="76">
        <v>30</v>
      </c>
      <c r="O1125" s="76">
        <v>30</v>
      </c>
      <c r="P1125" s="78">
        <v>0</v>
      </c>
    </row>
    <row r="1126" spans="7:16" x14ac:dyDescent="0.3">
      <c r="G1126" t="s">
        <v>2535</v>
      </c>
      <c r="H1126" s="76" t="s">
        <v>547</v>
      </c>
      <c r="I1126" s="76" t="s">
        <v>548</v>
      </c>
      <c r="J1126" s="76" t="s">
        <v>360</v>
      </c>
      <c r="K1126" s="77">
        <v>42373</v>
      </c>
      <c r="L1126" s="76" t="s">
        <v>475</v>
      </c>
      <c r="M1126" s="76" t="s">
        <v>898</v>
      </c>
      <c r="N1126" s="76">
        <v>250</v>
      </c>
      <c r="O1126" s="76">
        <v>225</v>
      </c>
      <c r="P1126" s="78">
        <v>0.1</v>
      </c>
    </row>
    <row r="1127" spans="7:16" x14ac:dyDescent="0.3">
      <c r="G1127" t="s">
        <v>2536</v>
      </c>
      <c r="H1127" s="76" t="s">
        <v>358</v>
      </c>
      <c r="I1127" s="76" t="s">
        <v>359</v>
      </c>
      <c r="J1127" s="76" t="s">
        <v>360</v>
      </c>
      <c r="K1127" s="77">
        <v>43376</v>
      </c>
      <c r="L1127" s="76" t="s">
        <v>379</v>
      </c>
      <c r="M1127" s="76" t="s">
        <v>780</v>
      </c>
      <c r="N1127" s="76">
        <v>150</v>
      </c>
      <c r="O1127" s="76">
        <v>143</v>
      </c>
      <c r="P1127" s="78">
        <v>4.6699999999999998E-2</v>
      </c>
    </row>
    <row r="1128" spans="7:16" x14ac:dyDescent="0.3">
      <c r="G1128" t="s">
        <v>2537</v>
      </c>
      <c r="H1128" s="76" t="s">
        <v>566</v>
      </c>
      <c r="I1128" s="76" t="s">
        <v>567</v>
      </c>
      <c r="J1128" s="76" t="s">
        <v>360</v>
      </c>
      <c r="K1128" s="77">
        <v>42008</v>
      </c>
      <c r="L1128" s="76" t="s">
        <v>373</v>
      </c>
      <c r="M1128" s="76" t="s">
        <v>1370</v>
      </c>
      <c r="N1128" s="76">
        <v>700</v>
      </c>
      <c r="O1128" s="76">
        <v>679</v>
      </c>
      <c r="P1128" s="78">
        <v>0.03</v>
      </c>
    </row>
    <row r="1129" spans="7:16" x14ac:dyDescent="0.3">
      <c r="G1129" t="s">
        <v>2538</v>
      </c>
      <c r="H1129" s="76" t="s">
        <v>845</v>
      </c>
      <c r="I1129" s="76" t="s">
        <v>846</v>
      </c>
      <c r="J1129" s="76" t="s">
        <v>360</v>
      </c>
      <c r="K1129" s="77">
        <v>41951</v>
      </c>
      <c r="L1129" s="76" t="s">
        <v>424</v>
      </c>
      <c r="M1129" s="76" t="s">
        <v>1868</v>
      </c>
      <c r="N1129" s="76">
        <v>500</v>
      </c>
      <c r="O1129" s="76">
        <v>495</v>
      </c>
      <c r="P1129" s="78">
        <v>0.01</v>
      </c>
    </row>
    <row r="1130" spans="7:16" x14ac:dyDescent="0.3">
      <c r="G1130" t="s">
        <v>2539</v>
      </c>
      <c r="H1130" s="76" t="s">
        <v>494</v>
      </c>
      <c r="I1130" s="76" t="s">
        <v>465</v>
      </c>
      <c r="J1130" s="76" t="s">
        <v>366</v>
      </c>
      <c r="K1130" s="76" t="s">
        <v>1474</v>
      </c>
      <c r="L1130" s="76" t="s">
        <v>396</v>
      </c>
      <c r="M1130" s="76" t="s">
        <v>1027</v>
      </c>
      <c r="N1130" s="76">
        <v>500</v>
      </c>
      <c r="O1130" s="76">
        <v>400</v>
      </c>
      <c r="P1130" s="78">
        <v>0.2</v>
      </c>
    </row>
    <row r="1131" spans="7:16" x14ac:dyDescent="0.3">
      <c r="G1131" t="s">
        <v>2540</v>
      </c>
      <c r="H1131" s="76" t="s">
        <v>464</v>
      </c>
      <c r="I1131" s="76" t="s">
        <v>465</v>
      </c>
      <c r="J1131" s="76" t="s">
        <v>366</v>
      </c>
      <c r="K1131" s="76" t="s">
        <v>2276</v>
      </c>
      <c r="L1131" s="76" t="s">
        <v>385</v>
      </c>
      <c r="M1131" s="76" t="s">
        <v>1510</v>
      </c>
      <c r="N1131" s="76">
        <v>50</v>
      </c>
      <c r="O1131" s="76">
        <v>48</v>
      </c>
      <c r="P1131" s="78">
        <v>0.04</v>
      </c>
    </row>
    <row r="1132" spans="7:16" x14ac:dyDescent="0.3">
      <c r="G1132" t="s">
        <v>2541</v>
      </c>
      <c r="H1132" s="76" t="s">
        <v>434</v>
      </c>
      <c r="I1132" s="76" t="s">
        <v>435</v>
      </c>
      <c r="J1132" s="76" t="s">
        <v>360</v>
      </c>
      <c r="K1132" s="76" t="s">
        <v>1996</v>
      </c>
      <c r="L1132" s="76" t="s">
        <v>391</v>
      </c>
      <c r="M1132" s="76" t="s">
        <v>1584</v>
      </c>
      <c r="N1132" s="76">
        <v>30</v>
      </c>
      <c r="O1132" s="76">
        <v>19</v>
      </c>
      <c r="P1132" s="78">
        <v>0.36670000000000003</v>
      </c>
    </row>
    <row r="1133" spans="7:16" x14ac:dyDescent="0.3">
      <c r="G1133" t="s">
        <v>2542</v>
      </c>
      <c r="H1133" s="76" t="s">
        <v>489</v>
      </c>
      <c r="I1133" s="76" t="s">
        <v>490</v>
      </c>
      <c r="J1133" s="76" t="s">
        <v>360</v>
      </c>
      <c r="K1133" s="76" t="s">
        <v>756</v>
      </c>
      <c r="L1133" s="76" t="s">
        <v>391</v>
      </c>
      <c r="M1133" s="76" t="s">
        <v>627</v>
      </c>
      <c r="N1133" s="76">
        <v>30</v>
      </c>
      <c r="O1133" s="76">
        <v>22</v>
      </c>
      <c r="P1133" s="78">
        <v>0.26669999999999999</v>
      </c>
    </row>
    <row r="1134" spans="7:16" x14ac:dyDescent="0.3">
      <c r="G1134" t="s">
        <v>2543</v>
      </c>
      <c r="H1134" s="76" t="s">
        <v>376</v>
      </c>
      <c r="I1134" s="76" t="s">
        <v>377</v>
      </c>
      <c r="J1134" s="76" t="s">
        <v>360</v>
      </c>
      <c r="K1134" s="77">
        <v>42919</v>
      </c>
      <c r="L1134" s="76" t="s">
        <v>424</v>
      </c>
      <c r="M1134" s="76" t="s">
        <v>877</v>
      </c>
      <c r="N1134" s="76">
        <v>500</v>
      </c>
      <c r="O1134" s="76">
        <v>500</v>
      </c>
      <c r="P1134" s="78">
        <v>0</v>
      </c>
    </row>
    <row r="1135" spans="7:16" x14ac:dyDescent="0.3">
      <c r="G1135" t="s">
        <v>2544</v>
      </c>
      <c r="H1135" s="76" t="s">
        <v>494</v>
      </c>
      <c r="I1135" s="76" t="s">
        <v>465</v>
      </c>
      <c r="J1135" s="76" t="s">
        <v>366</v>
      </c>
      <c r="K1135" s="76" t="s">
        <v>538</v>
      </c>
      <c r="L1135" s="76" t="s">
        <v>385</v>
      </c>
      <c r="M1135" s="76" t="s">
        <v>2378</v>
      </c>
      <c r="N1135" s="76">
        <v>50</v>
      </c>
      <c r="O1135" s="76">
        <v>50</v>
      </c>
      <c r="P1135" s="78">
        <v>0</v>
      </c>
    </row>
    <row r="1136" spans="7:16" x14ac:dyDescent="0.3">
      <c r="G1136" t="s">
        <v>2545</v>
      </c>
      <c r="H1136" s="76" t="s">
        <v>478</v>
      </c>
      <c r="I1136" s="76" t="s">
        <v>479</v>
      </c>
      <c r="J1136" s="76" t="s">
        <v>384</v>
      </c>
      <c r="K1136" s="77">
        <v>41737</v>
      </c>
      <c r="L1136" s="76" t="s">
        <v>483</v>
      </c>
      <c r="M1136" s="76" t="s">
        <v>2546</v>
      </c>
      <c r="N1136" s="76">
        <v>50</v>
      </c>
      <c r="O1136" s="76">
        <v>50</v>
      </c>
      <c r="P1136" s="78">
        <v>0</v>
      </c>
    </row>
    <row r="1137" spans="7:16" x14ac:dyDescent="0.3">
      <c r="G1137" t="s">
        <v>2547</v>
      </c>
      <c r="H1137" s="76" t="s">
        <v>524</v>
      </c>
      <c r="I1137" s="76" t="s">
        <v>465</v>
      </c>
      <c r="J1137" s="76" t="s">
        <v>366</v>
      </c>
      <c r="K1137" s="77">
        <v>42381</v>
      </c>
      <c r="L1137" s="76" t="s">
        <v>411</v>
      </c>
      <c r="M1137" s="76" t="s">
        <v>2198</v>
      </c>
      <c r="N1137" s="76">
        <v>1000</v>
      </c>
      <c r="O1137" s="76">
        <v>710</v>
      </c>
      <c r="P1137" s="78">
        <v>0.28999999999999998</v>
      </c>
    </row>
    <row r="1138" spans="7:16" x14ac:dyDescent="0.3">
      <c r="G1138" t="s">
        <v>2548</v>
      </c>
      <c r="H1138" s="76" t="s">
        <v>489</v>
      </c>
      <c r="I1138" s="76" t="s">
        <v>490</v>
      </c>
      <c r="J1138" s="76" t="s">
        <v>360</v>
      </c>
      <c r="K1138" s="76" t="s">
        <v>2549</v>
      </c>
      <c r="L1138" s="76" t="s">
        <v>361</v>
      </c>
      <c r="M1138" s="76" t="s">
        <v>824</v>
      </c>
      <c r="N1138" s="76">
        <v>80</v>
      </c>
      <c r="O1138" s="76">
        <v>74</v>
      </c>
      <c r="P1138" s="78">
        <v>7.4999999999999997E-2</v>
      </c>
    </row>
    <row r="1139" spans="7:16" x14ac:dyDescent="0.3">
      <c r="G1139" t="s">
        <v>2550</v>
      </c>
      <c r="H1139" s="76" t="s">
        <v>434</v>
      </c>
      <c r="I1139" s="76" t="s">
        <v>435</v>
      </c>
      <c r="J1139" s="76" t="s">
        <v>360</v>
      </c>
      <c r="K1139" s="76" t="s">
        <v>2551</v>
      </c>
      <c r="L1139" s="76" t="s">
        <v>483</v>
      </c>
      <c r="M1139" s="76" t="s">
        <v>2305</v>
      </c>
      <c r="N1139" s="76">
        <v>50</v>
      </c>
      <c r="O1139" s="76">
        <v>50</v>
      </c>
      <c r="P1139" s="78">
        <v>0</v>
      </c>
    </row>
    <row r="1140" spans="7:16" x14ac:dyDescent="0.3">
      <c r="G1140" t="s">
        <v>2552</v>
      </c>
      <c r="H1140" s="76" t="s">
        <v>524</v>
      </c>
      <c r="I1140" s="76" t="s">
        <v>465</v>
      </c>
      <c r="J1140" s="76" t="s">
        <v>366</v>
      </c>
      <c r="K1140" s="76" t="s">
        <v>1941</v>
      </c>
      <c r="L1140" s="76" t="s">
        <v>475</v>
      </c>
      <c r="M1140" s="76" t="s">
        <v>1891</v>
      </c>
      <c r="N1140" s="76">
        <v>250</v>
      </c>
      <c r="O1140" s="76">
        <v>208</v>
      </c>
      <c r="P1140" s="78">
        <v>0.16800000000000001</v>
      </c>
    </row>
    <row r="1141" spans="7:16" x14ac:dyDescent="0.3">
      <c r="G1141" t="s">
        <v>2553</v>
      </c>
      <c r="H1141" s="76" t="s">
        <v>444</v>
      </c>
      <c r="I1141" s="76" t="s">
        <v>445</v>
      </c>
      <c r="J1141" s="76" t="s">
        <v>384</v>
      </c>
      <c r="K1141" s="77">
        <v>42769</v>
      </c>
      <c r="L1141" s="76" t="s">
        <v>483</v>
      </c>
      <c r="M1141" s="76" t="s">
        <v>583</v>
      </c>
      <c r="N1141" s="76">
        <v>50</v>
      </c>
      <c r="O1141" s="76">
        <v>46</v>
      </c>
      <c r="P1141" s="78">
        <v>0.08</v>
      </c>
    </row>
    <row r="1142" spans="7:16" x14ac:dyDescent="0.3">
      <c r="G1142" t="s">
        <v>2554</v>
      </c>
      <c r="H1142" s="76" t="s">
        <v>469</v>
      </c>
      <c r="I1142" s="76" t="s">
        <v>435</v>
      </c>
      <c r="J1142" s="76" t="s">
        <v>360</v>
      </c>
      <c r="K1142" s="77">
        <v>42310</v>
      </c>
      <c r="L1142" s="76" t="s">
        <v>405</v>
      </c>
      <c r="M1142" s="76" t="s">
        <v>2555</v>
      </c>
      <c r="N1142" s="76">
        <v>800</v>
      </c>
      <c r="O1142" s="76">
        <v>744</v>
      </c>
      <c r="P1142" s="78">
        <v>7.0000000000000007E-2</v>
      </c>
    </row>
    <row r="1143" spans="7:16" x14ac:dyDescent="0.3">
      <c r="G1143" t="s">
        <v>2556</v>
      </c>
      <c r="H1143" s="76" t="s">
        <v>414</v>
      </c>
      <c r="I1143" s="76" t="s">
        <v>415</v>
      </c>
      <c r="J1143" s="76" t="s">
        <v>384</v>
      </c>
      <c r="K1143" s="76" t="s">
        <v>2557</v>
      </c>
      <c r="L1143" s="76" t="s">
        <v>361</v>
      </c>
      <c r="M1143" s="76" t="s">
        <v>2361</v>
      </c>
      <c r="N1143" s="76">
        <v>80</v>
      </c>
      <c r="O1143" s="76">
        <v>76</v>
      </c>
      <c r="P1143" s="78">
        <v>0.05</v>
      </c>
    </row>
    <row r="1144" spans="7:16" x14ac:dyDescent="0.3">
      <c r="G1144" t="s">
        <v>2558</v>
      </c>
      <c r="H1144" s="76" t="s">
        <v>478</v>
      </c>
      <c r="I1144" s="76" t="s">
        <v>479</v>
      </c>
      <c r="J1144" s="76" t="s">
        <v>384</v>
      </c>
      <c r="K1144" s="77">
        <v>42800</v>
      </c>
      <c r="L1144" s="76" t="s">
        <v>379</v>
      </c>
      <c r="M1144" s="76" t="s">
        <v>1033</v>
      </c>
      <c r="N1144" s="76">
        <v>150</v>
      </c>
      <c r="O1144" s="76">
        <v>146</v>
      </c>
      <c r="P1144" s="78">
        <v>2.6700000000000002E-2</v>
      </c>
    </row>
    <row r="1145" spans="7:16" x14ac:dyDescent="0.3">
      <c r="G1145" t="s">
        <v>2559</v>
      </c>
      <c r="H1145" s="76" t="s">
        <v>611</v>
      </c>
      <c r="I1145" s="76" t="s">
        <v>389</v>
      </c>
      <c r="J1145" s="76" t="s">
        <v>384</v>
      </c>
      <c r="K1145" s="77">
        <v>43445</v>
      </c>
      <c r="L1145" s="76" t="s">
        <v>396</v>
      </c>
      <c r="M1145" s="76" t="s">
        <v>1883</v>
      </c>
      <c r="N1145" s="76">
        <v>500</v>
      </c>
      <c r="O1145" s="76">
        <v>475</v>
      </c>
      <c r="P1145" s="78">
        <v>0.05</v>
      </c>
    </row>
    <row r="1146" spans="7:16" x14ac:dyDescent="0.3">
      <c r="G1146" t="s">
        <v>2560</v>
      </c>
      <c r="H1146" s="76" t="s">
        <v>638</v>
      </c>
      <c r="I1146" s="76" t="s">
        <v>639</v>
      </c>
      <c r="J1146" s="76" t="s">
        <v>360</v>
      </c>
      <c r="K1146" s="76" t="s">
        <v>541</v>
      </c>
      <c r="L1146" s="76" t="s">
        <v>361</v>
      </c>
      <c r="M1146" s="76" t="s">
        <v>818</v>
      </c>
      <c r="N1146" s="76">
        <v>80</v>
      </c>
      <c r="O1146" s="76">
        <v>68</v>
      </c>
      <c r="P1146" s="78">
        <v>0.15</v>
      </c>
    </row>
    <row r="1147" spans="7:16" x14ac:dyDescent="0.3">
      <c r="G1147" t="s">
        <v>2561</v>
      </c>
      <c r="H1147" s="76" t="s">
        <v>747</v>
      </c>
      <c r="I1147" s="76" t="s">
        <v>748</v>
      </c>
      <c r="J1147" s="76" t="s">
        <v>360</v>
      </c>
      <c r="K1147" s="76" t="s">
        <v>2562</v>
      </c>
      <c r="L1147" s="76" t="s">
        <v>424</v>
      </c>
      <c r="M1147" s="76" t="s">
        <v>2271</v>
      </c>
      <c r="N1147" s="76">
        <v>500</v>
      </c>
      <c r="O1147" s="76">
        <v>500</v>
      </c>
      <c r="P1147" s="78">
        <v>0</v>
      </c>
    </row>
    <row r="1148" spans="7:16" x14ac:dyDescent="0.3">
      <c r="G1148" t="s">
        <v>2563</v>
      </c>
      <c r="H1148" s="76" t="s">
        <v>656</v>
      </c>
      <c r="I1148" s="76" t="s">
        <v>657</v>
      </c>
      <c r="J1148" s="76" t="s">
        <v>360</v>
      </c>
      <c r="K1148" s="77">
        <v>41673</v>
      </c>
      <c r="L1148" s="76" t="s">
        <v>475</v>
      </c>
      <c r="M1148" s="76" t="s">
        <v>2144</v>
      </c>
      <c r="N1148" s="76">
        <v>250</v>
      </c>
      <c r="O1148" s="76">
        <v>243</v>
      </c>
      <c r="P1148" s="78">
        <v>2.8000000000000001E-2</v>
      </c>
    </row>
    <row r="1149" spans="7:16" x14ac:dyDescent="0.3">
      <c r="G1149" t="s">
        <v>2564</v>
      </c>
      <c r="H1149" s="76" t="s">
        <v>370</v>
      </c>
      <c r="I1149" s="76" t="s">
        <v>371</v>
      </c>
      <c r="J1149" s="76" t="s">
        <v>372</v>
      </c>
      <c r="K1149" s="76" t="s">
        <v>1306</v>
      </c>
      <c r="L1149" s="76" t="s">
        <v>411</v>
      </c>
      <c r="M1149" s="76" t="s">
        <v>512</v>
      </c>
      <c r="N1149" s="76">
        <v>1000</v>
      </c>
      <c r="O1149" s="76">
        <v>500</v>
      </c>
      <c r="P1149" s="78">
        <v>0.5</v>
      </c>
    </row>
    <row r="1150" spans="7:16" x14ac:dyDescent="0.3">
      <c r="G1150" t="s">
        <v>2565</v>
      </c>
      <c r="H1150" s="76" t="s">
        <v>615</v>
      </c>
      <c r="I1150" s="76" t="s">
        <v>400</v>
      </c>
      <c r="J1150" s="76" t="s">
        <v>372</v>
      </c>
      <c r="K1150" s="77">
        <v>43443</v>
      </c>
      <c r="L1150" s="76" t="s">
        <v>411</v>
      </c>
      <c r="M1150" s="76" t="s">
        <v>1291</v>
      </c>
      <c r="N1150" s="76">
        <v>1000</v>
      </c>
      <c r="O1150" s="76">
        <v>700</v>
      </c>
      <c r="P1150" s="78">
        <v>0.3</v>
      </c>
    </row>
    <row r="1151" spans="7:16" x14ac:dyDescent="0.3">
      <c r="G1151" t="s">
        <v>2566</v>
      </c>
      <c r="H1151" s="76" t="s">
        <v>845</v>
      </c>
      <c r="I1151" s="76" t="s">
        <v>846</v>
      </c>
      <c r="J1151" s="76" t="s">
        <v>360</v>
      </c>
      <c r="K1151" s="76" t="s">
        <v>768</v>
      </c>
      <c r="L1151" s="76" t="s">
        <v>361</v>
      </c>
      <c r="M1151" s="76" t="s">
        <v>848</v>
      </c>
      <c r="N1151" s="76">
        <v>80</v>
      </c>
      <c r="O1151" s="76">
        <v>58</v>
      </c>
      <c r="P1151" s="78">
        <v>0.27500000000000002</v>
      </c>
    </row>
    <row r="1152" spans="7:16" x14ac:dyDescent="0.3">
      <c r="G1152" t="s">
        <v>2567</v>
      </c>
      <c r="H1152" s="76" t="s">
        <v>551</v>
      </c>
      <c r="I1152" s="76" t="s">
        <v>552</v>
      </c>
      <c r="J1152" s="76" t="s">
        <v>360</v>
      </c>
      <c r="K1152" s="76" t="s">
        <v>1430</v>
      </c>
      <c r="L1152" s="76" t="s">
        <v>405</v>
      </c>
      <c r="M1152" s="76" t="s">
        <v>1125</v>
      </c>
      <c r="N1152" s="76">
        <v>800</v>
      </c>
      <c r="O1152" s="76">
        <v>664</v>
      </c>
      <c r="P1152" s="78">
        <v>0.17</v>
      </c>
    </row>
    <row r="1153" spans="7:16" x14ac:dyDescent="0.3">
      <c r="G1153" t="s">
        <v>2568</v>
      </c>
      <c r="H1153" s="76" t="s">
        <v>403</v>
      </c>
      <c r="I1153" s="76" t="s">
        <v>404</v>
      </c>
      <c r="J1153" s="76" t="s">
        <v>360</v>
      </c>
      <c r="K1153" s="77">
        <v>41945</v>
      </c>
      <c r="L1153" s="76" t="s">
        <v>461</v>
      </c>
      <c r="M1153" s="76" t="s">
        <v>1375</v>
      </c>
      <c r="N1153" s="76">
        <v>70</v>
      </c>
      <c r="O1153" s="76">
        <v>69</v>
      </c>
      <c r="P1153" s="78">
        <v>1.43E-2</v>
      </c>
    </row>
    <row r="1154" spans="7:16" x14ac:dyDescent="0.3">
      <c r="G1154" t="s">
        <v>2569</v>
      </c>
      <c r="H1154" s="76" t="s">
        <v>399</v>
      </c>
      <c r="I1154" s="76" t="s">
        <v>400</v>
      </c>
      <c r="J1154" s="76" t="s">
        <v>372</v>
      </c>
      <c r="K1154" s="77">
        <v>41954</v>
      </c>
      <c r="L1154" s="76" t="s">
        <v>483</v>
      </c>
      <c r="M1154" s="76" t="s">
        <v>815</v>
      </c>
      <c r="N1154" s="76">
        <v>50</v>
      </c>
      <c r="O1154" s="76">
        <v>50</v>
      </c>
      <c r="P1154" s="78">
        <v>0</v>
      </c>
    </row>
    <row r="1155" spans="7:16" x14ac:dyDescent="0.3">
      <c r="G1155" t="s">
        <v>2570</v>
      </c>
      <c r="H1155" s="76" t="s">
        <v>675</v>
      </c>
      <c r="I1155" s="76" t="s">
        <v>676</v>
      </c>
      <c r="J1155" s="76" t="s">
        <v>384</v>
      </c>
      <c r="K1155" s="76" t="s">
        <v>623</v>
      </c>
      <c r="L1155" s="76" t="s">
        <v>361</v>
      </c>
      <c r="M1155" s="76" t="s">
        <v>764</v>
      </c>
      <c r="N1155" s="76">
        <v>80</v>
      </c>
      <c r="O1155" s="76">
        <v>75</v>
      </c>
      <c r="P1155" s="78">
        <v>6.25E-2</v>
      </c>
    </row>
    <row r="1156" spans="7:16" x14ac:dyDescent="0.3">
      <c r="G1156" t="s">
        <v>2571</v>
      </c>
      <c r="H1156" s="76" t="s">
        <v>358</v>
      </c>
      <c r="I1156" s="76" t="s">
        <v>359</v>
      </c>
      <c r="J1156" s="76" t="s">
        <v>360</v>
      </c>
      <c r="K1156" s="76" t="s">
        <v>1060</v>
      </c>
      <c r="L1156" s="76" t="s">
        <v>361</v>
      </c>
      <c r="M1156" s="76" t="s">
        <v>1858</v>
      </c>
      <c r="N1156" s="76">
        <v>80</v>
      </c>
      <c r="O1156" s="76">
        <v>76</v>
      </c>
      <c r="P1156" s="78">
        <v>0.05</v>
      </c>
    </row>
    <row r="1157" spans="7:16" x14ac:dyDescent="0.3">
      <c r="G1157" t="s">
        <v>2572</v>
      </c>
      <c r="H1157" s="76" t="s">
        <v>459</v>
      </c>
      <c r="I1157" s="76" t="s">
        <v>422</v>
      </c>
      <c r="J1157" s="76" t="s">
        <v>384</v>
      </c>
      <c r="K1157" s="76" t="s">
        <v>2531</v>
      </c>
      <c r="L1157" s="76" t="s">
        <v>475</v>
      </c>
      <c r="M1157" s="76" t="s">
        <v>1283</v>
      </c>
      <c r="N1157" s="76">
        <v>250</v>
      </c>
      <c r="O1157" s="76">
        <v>190</v>
      </c>
      <c r="P1157" s="78">
        <v>0.24</v>
      </c>
    </row>
    <row r="1158" spans="7:16" x14ac:dyDescent="0.3">
      <c r="G1158" t="s">
        <v>2573</v>
      </c>
      <c r="H1158" s="76" t="s">
        <v>638</v>
      </c>
      <c r="I1158" s="76" t="s">
        <v>639</v>
      </c>
      <c r="J1158" s="76" t="s">
        <v>360</v>
      </c>
      <c r="K1158" s="77">
        <v>42767</v>
      </c>
      <c r="L1158" s="76" t="s">
        <v>411</v>
      </c>
      <c r="M1158" s="76" t="s">
        <v>1851</v>
      </c>
      <c r="N1158" s="76">
        <v>1000</v>
      </c>
      <c r="O1158" s="76">
        <v>650</v>
      </c>
      <c r="P1158" s="78">
        <v>0.35</v>
      </c>
    </row>
    <row r="1159" spans="7:16" x14ac:dyDescent="0.3">
      <c r="G1159" t="s">
        <v>2574</v>
      </c>
      <c r="H1159" s="76" t="s">
        <v>611</v>
      </c>
      <c r="I1159" s="76" t="s">
        <v>389</v>
      </c>
      <c r="J1159" s="76" t="s">
        <v>384</v>
      </c>
      <c r="K1159" s="77">
        <v>42228</v>
      </c>
      <c r="L1159" s="76" t="s">
        <v>361</v>
      </c>
      <c r="M1159" s="76" t="s">
        <v>613</v>
      </c>
      <c r="N1159" s="76">
        <v>80</v>
      </c>
      <c r="O1159" s="76">
        <v>58</v>
      </c>
      <c r="P1159" s="78">
        <v>0.27500000000000002</v>
      </c>
    </row>
    <row r="1160" spans="7:16" x14ac:dyDescent="0.3">
      <c r="G1160" t="s">
        <v>2575</v>
      </c>
      <c r="H1160" s="76" t="s">
        <v>388</v>
      </c>
      <c r="I1160" s="76" t="s">
        <v>389</v>
      </c>
      <c r="J1160" s="76" t="s">
        <v>384</v>
      </c>
      <c r="K1160" s="77">
        <v>41699</v>
      </c>
      <c r="L1160" s="76" t="s">
        <v>475</v>
      </c>
      <c r="M1160" s="76" t="s">
        <v>2576</v>
      </c>
      <c r="N1160" s="76">
        <v>250</v>
      </c>
      <c r="O1160" s="76">
        <v>235</v>
      </c>
      <c r="P1160" s="78">
        <v>0.06</v>
      </c>
    </row>
    <row r="1161" spans="7:16" x14ac:dyDescent="0.3">
      <c r="G1161" t="s">
        <v>2577</v>
      </c>
      <c r="H1161" s="76" t="s">
        <v>566</v>
      </c>
      <c r="I1161" s="76" t="s">
        <v>567</v>
      </c>
      <c r="J1161" s="76" t="s">
        <v>360</v>
      </c>
      <c r="K1161" s="76" t="s">
        <v>2578</v>
      </c>
      <c r="L1161" s="76" t="s">
        <v>396</v>
      </c>
      <c r="M1161" s="76" t="s">
        <v>633</v>
      </c>
      <c r="N1161" s="76">
        <v>500</v>
      </c>
      <c r="O1161" s="76">
        <v>440</v>
      </c>
      <c r="P1161" s="78">
        <v>0.12</v>
      </c>
    </row>
    <row r="1162" spans="7:16" x14ac:dyDescent="0.3">
      <c r="G1162" t="s">
        <v>2579</v>
      </c>
      <c r="H1162" s="76" t="s">
        <v>489</v>
      </c>
      <c r="I1162" s="76" t="s">
        <v>490</v>
      </c>
      <c r="J1162" s="76" t="s">
        <v>360</v>
      </c>
      <c r="K1162" s="76" t="s">
        <v>2580</v>
      </c>
      <c r="L1162" s="76" t="s">
        <v>483</v>
      </c>
      <c r="M1162" s="76" t="s">
        <v>492</v>
      </c>
      <c r="N1162" s="76">
        <v>50</v>
      </c>
      <c r="O1162" s="76">
        <v>46</v>
      </c>
      <c r="P1162" s="78">
        <v>0.08</v>
      </c>
    </row>
    <row r="1163" spans="7:16" x14ac:dyDescent="0.3">
      <c r="G1163" t="s">
        <v>2581</v>
      </c>
      <c r="H1163" s="76" t="s">
        <v>560</v>
      </c>
      <c r="I1163" s="76" t="s">
        <v>465</v>
      </c>
      <c r="J1163" s="76" t="s">
        <v>366</v>
      </c>
      <c r="K1163" s="77">
        <v>43287</v>
      </c>
      <c r="L1163" s="76" t="s">
        <v>461</v>
      </c>
      <c r="M1163" s="76" t="s">
        <v>1214</v>
      </c>
      <c r="N1163" s="76">
        <v>70</v>
      </c>
      <c r="O1163" s="76">
        <v>63</v>
      </c>
      <c r="P1163" s="78">
        <v>0.1</v>
      </c>
    </row>
    <row r="1164" spans="7:16" x14ac:dyDescent="0.3">
      <c r="G1164" t="s">
        <v>2582</v>
      </c>
      <c r="H1164" s="76" t="s">
        <v>619</v>
      </c>
      <c r="I1164" s="76" t="s">
        <v>620</v>
      </c>
      <c r="J1164" s="76" t="s">
        <v>372</v>
      </c>
      <c r="K1164" s="76" t="s">
        <v>640</v>
      </c>
      <c r="L1164" s="76" t="s">
        <v>379</v>
      </c>
      <c r="M1164" s="76" t="s">
        <v>896</v>
      </c>
      <c r="N1164" s="76">
        <v>150</v>
      </c>
      <c r="O1164" s="76">
        <v>128</v>
      </c>
      <c r="P1164" s="78">
        <v>0.1467</v>
      </c>
    </row>
    <row r="1165" spans="7:16" x14ac:dyDescent="0.3">
      <c r="G1165" t="s">
        <v>2583</v>
      </c>
      <c r="H1165" s="76" t="s">
        <v>414</v>
      </c>
      <c r="I1165" s="76" t="s">
        <v>415</v>
      </c>
      <c r="J1165" s="76" t="s">
        <v>384</v>
      </c>
      <c r="K1165" s="77">
        <v>42686</v>
      </c>
      <c r="L1165" s="76" t="s">
        <v>379</v>
      </c>
      <c r="M1165" s="76" t="s">
        <v>1018</v>
      </c>
      <c r="N1165" s="76">
        <v>150</v>
      </c>
      <c r="O1165" s="76">
        <v>150</v>
      </c>
      <c r="P1165" s="78">
        <v>0</v>
      </c>
    </row>
    <row r="1166" spans="7:16" x14ac:dyDescent="0.3">
      <c r="G1166" t="s">
        <v>2584</v>
      </c>
      <c r="H1166" s="76" t="s">
        <v>358</v>
      </c>
      <c r="I1166" s="76" t="s">
        <v>359</v>
      </c>
      <c r="J1166" s="76" t="s">
        <v>360</v>
      </c>
      <c r="K1166" s="77">
        <v>43071</v>
      </c>
      <c r="L1166" s="76" t="s">
        <v>396</v>
      </c>
      <c r="M1166" s="76" t="s">
        <v>780</v>
      </c>
      <c r="N1166" s="76">
        <v>500</v>
      </c>
      <c r="O1166" s="76">
        <v>485</v>
      </c>
      <c r="P1166" s="78">
        <v>0.03</v>
      </c>
    </row>
    <row r="1167" spans="7:16" x14ac:dyDescent="0.3">
      <c r="G1167" t="s">
        <v>2585</v>
      </c>
      <c r="H1167" s="76" t="s">
        <v>438</v>
      </c>
      <c r="I1167" s="76" t="s">
        <v>439</v>
      </c>
      <c r="J1167" s="76" t="s">
        <v>360</v>
      </c>
      <c r="K1167" s="76" t="s">
        <v>2586</v>
      </c>
      <c r="L1167" s="76" t="s">
        <v>475</v>
      </c>
      <c r="M1167" s="76" t="s">
        <v>769</v>
      </c>
      <c r="N1167" s="76">
        <v>250</v>
      </c>
      <c r="O1167" s="76">
        <v>230</v>
      </c>
      <c r="P1167" s="78">
        <v>0.08</v>
      </c>
    </row>
    <row r="1168" spans="7:16" x14ac:dyDescent="0.3">
      <c r="G1168" t="s">
        <v>2587</v>
      </c>
      <c r="H1168" s="76" t="s">
        <v>473</v>
      </c>
      <c r="I1168" s="76" t="s">
        <v>404</v>
      </c>
      <c r="J1168" s="76" t="s">
        <v>360</v>
      </c>
      <c r="K1168" s="76" t="s">
        <v>2588</v>
      </c>
      <c r="L1168" s="76" t="s">
        <v>461</v>
      </c>
      <c r="M1168" s="76" t="s">
        <v>802</v>
      </c>
      <c r="N1168" s="76">
        <v>70</v>
      </c>
      <c r="O1168" s="76">
        <v>62</v>
      </c>
      <c r="P1168" s="78">
        <v>0.1143</v>
      </c>
    </row>
    <row r="1169" spans="7:16" x14ac:dyDescent="0.3">
      <c r="G1169" t="s">
        <v>2589</v>
      </c>
      <c r="H1169" s="76" t="s">
        <v>414</v>
      </c>
      <c r="I1169" s="76" t="s">
        <v>415</v>
      </c>
      <c r="J1169" s="76" t="s">
        <v>384</v>
      </c>
      <c r="K1169" s="77">
        <v>42954</v>
      </c>
      <c r="L1169" s="76" t="s">
        <v>373</v>
      </c>
      <c r="M1169" s="76" t="s">
        <v>2590</v>
      </c>
      <c r="N1169" s="76">
        <v>700</v>
      </c>
      <c r="O1169" s="76">
        <v>665</v>
      </c>
      <c r="P1169" s="78">
        <v>0.05</v>
      </c>
    </row>
    <row r="1170" spans="7:16" x14ac:dyDescent="0.3">
      <c r="G1170" t="s">
        <v>2591</v>
      </c>
      <c r="H1170" s="76" t="s">
        <v>494</v>
      </c>
      <c r="I1170" s="76" t="s">
        <v>465</v>
      </c>
      <c r="J1170" s="76" t="s">
        <v>366</v>
      </c>
      <c r="K1170" s="76" t="s">
        <v>2592</v>
      </c>
      <c r="L1170" s="76" t="s">
        <v>385</v>
      </c>
      <c r="M1170" s="76" t="s">
        <v>820</v>
      </c>
      <c r="N1170" s="76">
        <v>50</v>
      </c>
      <c r="O1170" s="76">
        <v>50</v>
      </c>
      <c r="P1170" s="78">
        <v>0</v>
      </c>
    </row>
    <row r="1171" spans="7:16" x14ac:dyDescent="0.3">
      <c r="G1171" t="s">
        <v>2593</v>
      </c>
      <c r="H1171" s="76" t="s">
        <v>566</v>
      </c>
      <c r="I1171" s="76" t="s">
        <v>567</v>
      </c>
      <c r="J1171" s="76" t="s">
        <v>360</v>
      </c>
      <c r="K1171" s="77">
        <v>41765</v>
      </c>
      <c r="L1171" s="76" t="s">
        <v>361</v>
      </c>
      <c r="M1171" s="76" t="s">
        <v>1370</v>
      </c>
      <c r="N1171" s="76">
        <v>80</v>
      </c>
      <c r="O1171" s="76">
        <v>56</v>
      </c>
      <c r="P1171" s="78">
        <v>0.3</v>
      </c>
    </row>
    <row r="1172" spans="7:16" x14ac:dyDescent="0.3">
      <c r="G1172" t="s">
        <v>2594</v>
      </c>
      <c r="H1172" s="76" t="s">
        <v>449</v>
      </c>
      <c r="I1172" s="76" t="s">
        <v>450</v>
      </c>
      <c r="J1172" s="76" t="s">
        <v>360</v>
      </c>
      <c r="K1172" s="76" t="s">
        <v>2595</v>
      </c>
      <c r="L1172" s="76" t="s">
        <v>461</v>
      </c>
      <c r="M1172" s="76" t="s">
        <v>928</v>
      </c>
      <c r="N1172" s="76">
        <v>70</v>
      </c>
      <c r="O1172" s="76">
        <v>65</v>
      </c>
      <c r="P1172" s="78">
        <v>7.1400000000000005E-2</v>
      </c>
    </row>
    <row r="1173" spans="7:16" x14ac:dyDescent="0.3">
      <c r="G1173" t="s">
        <v>2596</v>
      </c>
      <c r="H1173" s="76" t="s">
        <v>891</v>
      </c>
      <c r="I1173" s="76" t="s">
        <v>892</v>
      </c>
      <c r="J1173" s="76" t="s">
        <v>372</v>
      </c>
      <c r="K1173" s="76" t="s">
        <v>2597</v>
      </c>
      <c r="L1173" s="76" t="s">
        <v>385</v>
      </c>
      <c r="M1173" s="76" t="s">
        <v>1333</v>
      </c>
      <c r="N1173" s="76">
        <v>50</v>
      </c>
      <c r="O1173" s="76">
        <v>43</v>
      </c>
      <c r="P1173" s="78">
        <v>0.14000000000000001</v>
      </c>
    </row>
    <row r="1174" spans="7:16" x14ac:dyDescent="0.3">
      <c r="G1174" t="s">
        <v>2598</v>
      </c>
      <c r="H1174" s="76" t="s">
        <v>421</v>
      </c>
      <c r="I1174" s="76" t="s">
        <v>422</v>
      </c>
      <c r="J1174" s="76" t="s">
        <v>384</v>
      </c>
      <c r="K1174" s="77">
        <v>42318</v>
      </c>
      <c r="L1174" s="76" t="s">
        <v>379</v>
      </c>
      <c r="M1174" s="76" t="s">
        <v>2599</v>
      </c>
      <c r="N1174" s="76">
        <v>150</v>
      </c>
      <c r="O1174" s="76">
        <v>126</v>
      </c>
      <c r="P1174" s="78">
        <v>0.16</v>
      </c>
    </row>
    <row r="1175" spans="7:16" x14ac:dyDescent="0.3">
      <c r="G1175" t="s">
        <v>2600</v>
      </c>
      <c r="H1175" s="76" t="s">
        <v>611</v>
      </c>
      <c r="I1175" s="76" t="s">
        <v>389</v>
      </c>
      <c r="J1175" s="76" t="s">
        <v>384</v>
      </c>
      <c r="K1175" s="76" t="s">
        <v>2118</v>
      </c>
      <c r="L1175" s="76" t="s">
        <v>396</v>
      </c>
      <c r="M1175" s="76" t="s">
        <v>2079</v>
      </c>
      <c r="N1175" s="76">
        <v>500</v>
      </c>
      <c r="O1175" s="76">
        <v>360</v>
      </c>
      <c r="P1175" s="78">
        <v>0.28000000000000003</v>
      </c>
    </row>
    <row r="1176" spans="7:16" x14ac:dyDescent="0.3">
      <c r="G1176" t="s">
        <v>2601</v>
      </c>
      <c r="H1176" s="76" t="s">
        <v>619</v>
      </c>
      <c r="I1176" s="76" t="s">
        <v>620</v>
      </c>
      <c r="J1176" s="76" t="s">
        <v>372</v>
      </c>
      <c r="K1176" s="77">
        <v>42622</v>
      </c>
      <c r="L1176" s="76" t="s">
        <v>361</v>
      </c>
      <c r="M1176" s="76" t="s">
        <v>1142</v>
      </c>
      <c r="N1176" s="76">
        <v>80</v>
      </c>
      <c r="O1176" s="76">
        <v>71</v>
      </c>
      <c r="P1176" s="78">
        <v>0.1125</v>
      </c>
    </row>
    <row r="1177" spans="7:16" x14ac:dyDescent="0.3">
      <c r="G1177" t="s">
        <v>2602</v>
      </c>
      <c r="H1177" s="76" t="s">
        <v>494</v>
      </c>
      <c r="I1177" s="76" t="s">
        <v>465</v>
      </c>
      <c r="J1177" s="76" t="s">
        <v>366</v>
      </c>
      <c r="K1177" s="76" t="s">
        <v>2603</v>
      </c>
      <c r="L1177" s="76" t="s">
        <v>391</v>
      </c>
      <c r="M1177" s="76" t="s">
        <v>495</v>
      </c>
      <c r="N1177" s="76">
        <v>30</v>
      </c>
      <c r="O1177" s="76">
        <v>29</v>
      </c>
      <c r="P1177" s="78">
        <v>3.3300000000000003E-2</v>
      </c>
    </row>
    <row r="1178" spans="7:16" x14ac:dyDescent="0.3">
      <c r="G1178" t="s">
        <v>2604</v>
      </c>
      <c r="H1178" s="76" t="s">
        <v>547</v>
      </c>
      <c r="I1178" s="76" t="s">
        <v>548</v>
      </c>
      <c r="J1178" s="76" t="s">
        <v>360</v>
      </c>
      <c r="K1178" s="76" t="s">
        <v>2605</v>
      </c>
      <c r="L1178" s="76" t="s">
        <v>475</v>
      </c>
      <c r="M1178" s="76" t="s">
        <v>1005</v>
      </c>
      <c r="N1178" s="76">
        <v>250</v>
      </c>
      <c r="O1178" s="76">
        <v>248</v>
      </c>
      <c r="P1178" s="78">
        <v>8.0000000000000002E-3</v>
      </c>
    </row>
    <row r="1179" spans="7:16" x14ac:dyDescent="0.3">
      <c r="G1179" t="s">
        <v>2606</v>
      </c>
      <c r="H1179" s="76" t="s">
        <v>497</v>
      </c>
      <c r="I1179" s="76" t="s">
        <v>445</v>
      </c>
      <c r="J1179" s="76" t="s">
        <v>384</v>
      </c>
      <c r="K1179" s="76" t="s">
        <v>2607</v>
      </c>
      <c r="L1179" s="76" t="s">
        <v>391</v>
      </c>
      <c r="M1179" s="76" t="s">
        <v>1734</v>
      </c>
      <c r="N1179" s="76">
        <v>30</v>
      </c>
      <c r="O1179" s="76">
        <v>27</v>
      </c>
      <c r="P1179" s="78">
        <v>0.1</v>
      </c>
    </row>
    <row r="1180" spans="7:16" x14ac:dyDescent="0.3">
      <c r="G1180" t="s">
        <v>2608</v>
      </c>
      <c r="H1180" s="76" t="s">
        <v>514</v>
      </c>
      <c r="I1180" s="76" t="s">
        <v>515</v>
      </c>
      <c r="J1180" s="76" t="s">
        <v>360</v>
      </c>
      <c r="K1180" s="77">
        <v>42743</v>
      </c>
      <c r="L1180" s="76" t="s">
        <v>461</v>
      </c>
      <c r="M1180" s="76" t="s">
        <v>2073</v>
      </c>
      <c r="N1180" s="76">
        <v>70</v>
      </c>
      <c r="O1180" s="76">
        <v>66</v>
      </c>
      <c r="P1180" s="78">
        <v>5.7099999999999998E-2</v>
      </c>
    </row>
    <row r="1181" spans="7:16" x14ac:dyDescent="0.3">
      <c r="G1181" t="s">
        <v>2609</v>
      </c>
      <c r="H1181" s="76" t="s">
        <v>364</v>
      </c>
      <c r="I1181" s="76" t="s">
        <v>365</v>
      </c>
      <c r="J1181" s="76" t="s">
        <v>366</v>
      </c>
      <c r="K1181" s="76" t="s">
        <v>722</v>
      </c>
      <c r="L1181" s="76" t="s">
        <v>385</v>
      </c>
      <c r="M1181" s="76" t="s">
        <v>368</v>
      </c>
      <c r="N1181" s="76">
        <v>50</v>
      </c>
      <c r="O1181" s="76">
        <v>50</v>
      </c>
      <c r="P1181" s="78">
        <v>0</v>
      </c>
    </row>
    <row r="1182" spans="7:16" x14ac:dyDescent="0.3">
      <c r="G1182" t="s">
        <v>2610</v>
      </c>
      <c r="H1182" s="76" t="s">
        <v>519</v>
      </c>
      <c r="I1182" s="76" t="s">
        <v>520</v>
      </c>
      <c r="J1182" s="76" t="s">
        <v>360</v>
      </c>
      <c r="K1182" s="77">
        <v>42282</v>
      </c>
      <c r="L1182" s="76" t="s">
        <v>411</v>
      </c>
      <c r="M1182" s="76" t="s">
        <v>1416</v>
      </c>
      <c r="N1182" s="76">
        <v>1000</v>
      </c>
      <c r="O1182" s="76">
        <v>690</v>
      </c>
      <c r="P1182" s="78">
        <v>0.31</v>
      </c>
    </row>
    <row r="1183" spans="7:16" x14ac:dyDescent="0.3">
      <c r="G1183" t="s">
        <v>2611</v>
      </c>
      <c r="H1183" s="76" t="s">
        <v>494</v>
      </c>
      <c r="I1183" s="76" t="s">
        <v>465</v>
      </c>
      <c r="J1183" s="76" t="s">
        <v>366</v>
      </c>
      <c r="K1183" s="76" t="s">
        <v>2612</v>
      </c>
      <c r="L1183" s="76" t="s">
        <v>379</v>
      </c>
      <c r="M1183" s="76" t="s">
        <v>1027</v>
      </c>
      <c r="N1183" s="76">
        <v>150</v>
      </c>
      <c r="O1183" s="76">
        <v>150</v>
      </c>
      <c r="P1183" s="78">
        <v>0</v>
      </c>
    </row>
    <row r="1184" spans="7:16" x14ac:dyDescent="0.3">
      <c r="G1184" t="s">
        <v>2613</v>
      </c>
      <c r="H1184" s="76" t="s">
        <v>459</v>
      </c>
      <c r="I1184" s="76" t="s">
        <v>422</v>
      </c>
      <c r="J1184" s="76" t="s">
        <v>384</v>
      </c>
      <c r="K1184" s="77">
        <v>42316</v>
      </c>
      <c r="L1184" s="76" t="s">
        <v>373</v>
      </c>
      <c r="M1184" s="76" t="s">
        <v>646</v>
      </c>
      <c r="N1184" s="76">
        <v>700</v>
      </c>
      <c r="O1184" s="76">
        <v>560</v>
      </c>
      <c r="P1184" s="78">
        <v>0.2</v>
      </c>
    </row>
    <row r="1185" spans="7:16" x14ac:dyDescent="0.3">
      <c r="G1185" t="s">
        <v>2614</v>
      </c>
      <c r="H1185" s="76" t="s">
        <v>615</v>
      </c>
      <c r="I1185" s="76" t="s">
        <v>400</v>
      </c>
      <c r="J1185" s="76" t="s">
        <v>372</v>
      </c>
      <c r="K1185" s="76" t="s">
        <v>1409</v>
      </c>
      <c r="L1185" s="76" t="s">
        <v>424</v>
      </c>
      <c r="M1185" s="76" t="s">
        <v>864</v>
      </c>
      <c r="N1185" s="76">
        <v>500</v>
      </c>
      <c r="O1185" s="76">
        <v>495</v>
      </c>
      <c r="P1185" s="78">
        <v>0.01</v>
      </c>
    </row>
    <row r="1186" spans="7:16" x14ac:dyDescent="0.3">
      <c r="G1186" t="s">
        <v>2615</v>
      </c>
      <c r="H1186" s="76" t="s">
        <v>700</v>
      </c>
      <c r="I1186" s="76" t="s">
        <v>465</v>
      </c>
      <c r="J1186" s="76" t="s">
        <v>366</v>
      </c>
      <c r="K1186" s="76" t="s">
        <v>2616</v>
      </c>
      <c r="L1186" s="76" t="s">
        <v>391</v>
      </c>
      <c r="M1186" s="76" t="s">
        <v>1821</v>
      </c>
      <c r="N1186" s="76">
        <v>30</v>
      </c>
      <c r="O1186" s="76">
        <v>30</v>
      </c>
      <c r="P1186" s="78">
        <v>0</v>
      </c>
    </row>
    <row r="1187" spans="7:16" x14ac:dyDescent="0.3">
      <c r="G1187" t="s">
        <v>2617</v>
      </c>
      <c r="H1187" s="76" t="s">
        <v>382</v>
      </c>
      <c r="I1187" s="76" t="s">
        <v>383</v>
      </c>
      <c r="J1187" s="76" t="s">
        <v>384</v>
      </c>
      <c r="K1187" s="77">
        <v>42016</v>
      </c>
      <c r="L1187" s="76" t="s">
        <v>379</v>
      </c>
      <c r="M1187" s="76" t="s">
        <v>915</v>
      </c>
      <c r="N1187" s="76">
        <v>150</v>
      </c>
      <c r="O1187" s="76">
        <v>132</v>
      </c>
      <c r="P1187" s="78">
        <v>0.12</v>
      </c>
    </row>
    <row r="1188" spans="7:16" x14ac:dyDescent="0.3">
      <c r="G1188" t="s">
        <v>2618</v>
      </c>
      <c r="H1188" s="76" t="s">
        <v>394</v>
      </c>
      <c r="I1188" s="76" t="s">
        <v>395</v>
      </c>
      <c r="J1188" s="76" t="s">
        <v>372</v>
      </c>
      <c r="K1188" s="77">
        <v>41985</v>
      </c>
      <c r="L1188" s="76" t="s">
        <v>396</v>
      </c>
      <c r="M1188" s="76" t="s">
        <v>586</v>
      </c>
      <c r="N1188" s="76">
        <v>500</v>
      </c>
      <c r="O1188" s="76">
        <v>425</v>
      </c>
      <c r="P1188" s="78">
        <v>0.15</v>
      </c>
    </row>
    <row r="1189" spans="7:16" x14ac:dyDescent="0.3">
      <c r="G1189" t="s">
        <v>2619</v>
      </c>
      <c r="H1189" s="76" t="s">
        <v>845</v>
      </c>
      <c r="I1189" s="76" t="s">
        <v>846</v>
      </c>
      <c r="J1189" s="76" t="s">
        <v>360</v>
      </c>
      <c r="K1189" s="77">
        <v>42898</v>
      </c>
      <c r="L1189" s="76" t="s">
        <v>411</v>
      </c>
      <c r="M1189" s="76" t="s">
        <v>2620</v>
      </c>
      <c r="N1189" s="76">
        <v>1000</v>
      </c>
      <c r="O1189" s="76">
        <v>790</v>
      </c>
      <c r="P1189" s="78">
        <v>0.21</v>
      </c>
    </row>
    <row r="1190" spans="7:16" x14ac:dyDescent="0.3">
      <c r="G1190" t="s">
        <v>2621</v>
      </c>
      <c r="H1190" s="76" t="s">
        <v>376</v>
      </c>
      <c r="I1190" s="76" t="s">
        <v>377</v>
      </c>
      <c r="J1190" s="76" t="s">
        <v>360</v>
      </c>
      <c r="K1190" s="76" t="s">
        <v>2622</v>
      </c>
      <c r="L1190" s="76" t="s">
        <v>411</v>
      </c>
      <c r="M1190" s="76" t="s">
        <v>877</v>
      </c>
      <c r="N1190" s="76">
        <v>1000</v>
      </c>
      <c r="O1190" s="76">
        <v>980</v>
      </c>
      <c r="P1190" s="78">
        <v>0.02</v>
      </c>
    </row>
    <row r="1191" spans="7:16" x14ac:dyDescent="0.3">
      <c r="G1191" t="s">
        <v>2623</v>
      </c>
      <c r="H1191" s="76" t="s">
        <v>434</v>
      </c>
      <c r="I1191" s="76" t="s">
        <v>435</v>
      </c>
      <c r="J1191" s="76" t="s">
        <v>360</v>
      </c>
      <c r="K1191" s="77">
        <v>42220</v>
      </c>
      <c r="L1191" s="76" t="s">
        <v>396</v>
      </c>
      <c r="M1191" s="76" t="s">
        <v>1464</v>
      </c>
      <c r="N1191" s="76">
        <v>500</v>
      </c>
      <c r="O1191" s="76">
        <v>345</v>
      </c>
      <c r="P1191" s="78">
        <v>0.31</v>
      </c>
    </row>
    <row r="1192" spans="7:16" x14ac:dyDescent="0.3">
      <c r="G1192" t="s">
        <v>2624</v>
      </c>
      <c r="H1192" s="76" t="s">
        <v>376</v>
      </c>
      <c r="I1192" s="76" t="s">
        <v>377</v>
      </c>
      <c r="J1192" s="76" t="s">
        <v>360</v>
      </c>
      <c r="K1192" s="76" t="s">
        <v>2359</v>
      </c>
      <c r="L1192" s="76" t="s">
        <v>483</v>
      </c>
      <c r="M1192" s="76" t="s">
        <v>2625</v>
      </c>
      <c r="N1192" s="76">
        <v>50</v>
      </c>
      <c r="O1192" s="76">
        <v>44</v>
      </c>
      <c r="P1192" s="78">
        <v>0.12</v>
      </c>
    </row>
    <row r="1193" spans="7:16" x14ac:dyDescent="0.3">
      <c r="G1193" t="s">
        <v>2626</v>
      </c>
      <c r="H1193" s="76" t="s">
        <v>615</v>
      </c>
      <c r="I1193" s="76" t="s">
        <v>400</v>
      </c>
      <c r="J1193" s="76" t="s">
        <v>372</v>
      </c>
      <c r="K1193" s="76" t="s">
        <v>2627</v>
      </c>
      <c r="L1193" s="76" t="s">
        <v>483</v>
      </c>
      <c r="M1193" s="76" t="s">
        <v>864</v>
      </c>
      <c r="N1193" s="76">
        <v>50</v>
      </c>
      <c r="O1193" s="76">
        <v>43</v>
      </c>
      <c r="P1193" s="78">
        <v>0.14000000000000001</v>
      </c>
    </row>
    <row r="1194" spans="7:16" x14ac:dyDescent="0.3">
      <c r="G1194" t="s">
        <v>2628</v>
      </c>
      <c r="H1194" s="76" t="s">
        <v>675</v>
      </c>
      <c r="I1194" s="76" t="s">
        <v>676</v>
      </c>
      <c r="J1194" s="76" t="s">
        <v>384</v>
      </c>
      <c r="K1194" s="77">
        <v>43408</v>
      </c>
      <c r="L1194" s="76" t="s">
        <v>391</v>
      </c>
      <c r="M1194" s="76" t="s">
        <v>1268</v>
      </c>
      <c r="N1194" s="76">
        <v>30</v>
      </c>
      <c r="O1194" s="76">
        <v>29</v>
      </c>
      <c r="P1194" s="78">
        <v>3.3300000000000003E-2</v>
      </c>
    </row>
    <row r="1195" spans="7:16" x14ac:dyDescent="0.3">
      <c r="G1195" t="s">
        <v>2629</v>
      </c>
      <c r="H1195" s="76" t="s">
        <v>675</v>
      </c>
      <c r="I1195" s="76" t="s">
        <v>676</v>
      </c>
      <c r="J1195" s="76" t="s">
        <v>384</v>
      </c>
      <c r="K1195" s="76" t="s">
        <v>697</v>
      </c>
      <c r="L1195" s="76" t="s">
        <v>391</v>
      </c>
      <c r="M1195" s="76" t="s">
        <v>1071</v>
      </c>
      <c r="N1195" s="76">
        <v>30</v>
      </c>
      <c r="O1195" s="76">
        <v>29</v>
      </c>
      <c r="P1195" s="78">
        <v>3.3300000000000003E-2</v>
      </c>
    </row>
    <row r="1196" spans="7:16" x14ac:dyDescent="0.3">
      <c r="G1196" t="s">
        <v>2630</v>
      </c>
      <c r="H1196" s="76" t="s">
        <v>700</v>
      </c>
      <c r="I1196" s="76" t="s">
        <v>465</v>
      </c>
      <c r="J1196" s="76" t="s">
        <v>366</v>
      </c>
      <c r="K1196" s="77">
        <v>42560</v>
      </c>
      <c r="L1196" s="76" t="s">
        <v>373</v>
      </c>
      <c r="M1196" s="76" t="s">
        <v>702</v>
      </c>
      <c r="N1196" s="76">
        <v>700</v>
      </c>
      <c r="O1196" s="76">
        <v>700</v>
      </c>
      <c r="P1196" s="78">
        <v>0</v>
      </c>
    </row>
    <row r="1197" spans="7:16" x14ac:dyDescent="0.3">
      <c r="G1197" t="s">
        <v>2631</v>
      </c>
      <c r="H1197" s="76" t="s">
        <v>403</v>
      </c>
      <c r="I1197" s="76" t="s">
        <v>404</v>
      </c>
      <c r="J1197" s="76" t="s">
        <v>360</v>
      </c>
      <c r="K1197" s="77">
        <v>42249</v>
      </c>
      <c r="L1197" s="76" t="s">
        <v>475</v>
      </c>
      <c r="M1197" s="76" t="s">
        <v>1414</v>
      </c>
      <c r="N1197" s="76">
        <v>250</v>
      </c>
      <c r="O1197" s="76">
        <v>238</v>
      </c>
      <c r="P1197" s="78">
        <v>4.8000000000000001E-2</v>
      </c>
    </row>
    <row r="1198" spans="7:16" x14ac:dyDescent="0.3">
      <c r="G1198" t="s">
        <v>2632</v>
      </c>
      <c r="H1198" s="76" t="s">
        <v>409</v>
      </c>
      <c r="I1198" s="76" t="s">
        <v>410</v>
      </c>
      <c r="J1198" s="76" t="s">
        <v>360</v>
      </c>
      <c r="K1198" s="76" t="s">
        <v>1555</v>
      </c>
      <c r="L1198" s="76" t="s">
        <v>396</v>
      </c>
      <c r="M1198" s="76" t="s">
        <v>2633</v>
      </c>
      <c r="N1198" s="76">
        <v>500</v>
      </c>
      <c r="O1198" s="76">
        <v>485</v>
      </c>
      <c r="P1198" s="78">
        <v>0.03</v>
      </c>
    </row>
    <row r="1199" spans="7:16" x14ac:dyDescent="0.3">
      <c r="G1199" t="s">
        <v>2634</v>
      </c>
      <c r="H1199" s="76" t="s">
        <v>528</v>
      </c>
      <c r="I1199" s="76" t="s">
        <v>465</v>
      </c>
      <c r="J1199" s="76" t="s">
        <v>366</v>
      </c>
      <c r="K1199" s="76" t="s">
        <v>2635</v>
      </c>
      <c r="L1199" s="76" t="s">
        <v>405</v>
      </c>
      <c r="M1199" s="76" t="s">
        <v>933</v>
      </c>
      <c r="N1199" s="76">
        <v>800</v>
      </c>
      <c r="O1199" s="76">
        <v>456</v>
      </c>
      <c r="P1199" s="78">
        <v>0.43</v>
      </c>
    </row>
    <row r="1200" spans="7:16" x14ac:dyDescent="0.3">
      <c r="G1200" t="s">
        <v>2636</v>
      </c>
      <c r="H1200" s="76" t="s">
        <v>464</v>
      </c>
      <c r="I1200" s="76" t="s">
        <v>465</v>
      </c>
      <c r="J1200" s="76" t="s">
        <v>366</v>
      </c>
      <c r="K1200" s="77">
        <v>43016</v>
      </c>
      <c r="L1200" s="76" t="s">
        <v>461</v>
      </c>
      <c r="M1200" s="76" t="s">
        <v>467</v>
      </c>
      <c r="N1200" s="76">
        <v>70</v>
      </c>
      <c r="O1200" s="76">
        <v>66</v>
      </c>
      <c r="P1200" s="78">
        <v>5.7099999999999998E-2</v>
      </c>
    </row>
    <row r="1201" spans="7:16" x14ac:dyDescent="0.3">
      <c r="G1201" t="s">
        <v>2637</v>
      </c>
      <c r="H1201" s="76" t="s">
        <v>403</v>
      </c>
      <c r="I1201" s="76" t="s">
        <v>404</v>
      </c>
      <c r="J1201" s="76" t="s">
        <v>360</v>
      </c>
      <c r="K1201" s="77">
        <v>41950</v>
      </c>
      <c r="L1201" s="76" t="s">
        <v>391</v>
      </c>
      <c r="M1201" s="76" t="s">
        <v>1178</v>
      </c>
      <c r="N1201" s="76">
        <v>30</v>
      </c>
      <c r="O1201" s="76">
        <v>30</v>
      </c>
      <c r="P1201" s="78">
        <v>0</v>
      </c>
    </row>
    <row r="1202" spans="7:16" x14ac:dyDescent="0.3">
      <c r="G1202" t="s">
        <v>2638</v>
      </c>
      <c r="H1202" s="76" t="s">
        <v>478</v>
      </c>
      <c r="I1202" s="76" t="s">
        <v>479</v>
      </c>
      <c r="J1202" s="76" t="s">
        <v>384</v>
      </c>
      <c r="K1202" s="77">
        <v>42715</v>
      </c>
      <c r="L1202" s="76" t="s">
        <v>391</v>
      </c>
      <c r="M1202" s="76" t="s">
        <v>480</v>
      </c>
      <c r="N1202" s="76">
        <v>30</v>
      </c>
      <c r="O1202" s="76">
        <v>29</v>
      </c>
      <c r="P1202" s="78">
        <v>3.3300000000000003E-2</v>
      </c>
    </row>
    <row r="1203" spans="7:16" x14ac:dyDescent="0.3">
      <c r="G1203" t="s">
        <v>2639</v>
      </c>
      <c r="H1203" s="76" t="s">
        <v>514</v>
      </c>
      <c r="I1203" s="76" t="s">
        <v>515</v>
      </c>
      <c r="J1203" s="76" t="s">
        <v>360</v>
      </c>
      <c r="K1203" s="77">
        <v>42042</v>
      </c>
      <c r="L1203" s="76" t="s">
        <v>461</v>
      </c>
      <c r="M1203" s="76" t="s">
        <v>2505</v>
      </c>
      <c r="N1203" s="76">
        <v>70</v>
      </c>
      <c r="O1203" s="76">
        <v>62</v>
      </c>
      <c r="P1203" s="78">
        <v>0.1143</v>
      </c>
    </row>
    <row r="1204" spans="7:16" x14ac:dyDescent="0.3">
      <c r="G1204" t="s">
        <v>2640</v>
      </c>
      <c r="H1204" s="76" t="s">
        <v>494</v>
      </c>
      <c r="I1204" s="76" t="s">
        <v>465</v>
      </c>
      <c r="J1204" s="76" t="s">
        <v>366</v>
      </c>
      <c r="K1204" s="77">
        <v>42070</v>
      </c>
      <c r="L1204" s="76" t="s">
        <v>424</v>
      </c>
      <c r="M1204" s="76" t="s">
        <v>820</v>
      </c>
      <c r="N1204" s="76">
        <v>500</v>
      </c>
      <c r="O1204" s="76">
        <v>500</v>
      </c>
      <c r="P1204" s="78">
        <v>0</v>
      </c>
    </row>
    <row r="1205" spans="7:16" x14ac:dyDescent="0.3">
      <c r="G1205" t="s">
        <v>2641</v>
      </c>
      <c r="H1205" s="76" t="s">
        <v>364</v>
      </c>
      <c r="I1205" s="76" t="s">
        <v>365</v>
      </c>
      <c r="J1205" s="76" t="s">
        <v>366</v>
      </c>
      <c r="K1205" s="77">
        <v>42376</v>
      </c>
      <c r="L1205" s="76" t="s">
        <v>483</v>
      </c>
      <c r="M1205" s="76" t="s">
        <v>1037</v>
      </c>
      <c r="N1205" s="76">
        <v>50</v>
      </c>
      <c r="O1205" s="76">
        <v>45</v>
      </c>
      <c r="P1205" s="78">
        <v>0.1</v>
      </c>
    </row>
    <row r="1206" spans="7:16" x14ac:dyDescent="0.3">
      <c r="G1206" t="s">
        <v>2642</v>
      </c>
      <c r="H1206" s="76" t="s">
        <v>638</v>
      </c>
      <c r="I1206" s="76" t="s">
        <v>639</v>
      </c>
      <c r="J1206" s="76" t="s">
        <v>360</v>
      </c>
      <c r="K1206" s="76" t="s">
        <v>665</v>
      </c>
      <c r="L1206" s="76" t="s">
        <v>373</v>
      </c>
      <c r="M1206" s="76" t="s">
        <v>1353</v>
      </c>
      <c r="N1206" s="76">
        <v>700</v>
      </c>
      <c r="O1206" s="76">
        <v>623</v>
      </c>
      <c r="P1206" s="78">
        <v>0.11</v>
      </c>
    </row>
    <row r="1207" spans="7:16" x14ac:dyDescent="0.3">
      <c r="G1207" t="s">
        <v>2643</v>
      </c>
      <c r="H1207" s="76" t="s">
        <v>421</v>
      </c>
      <c r="I1207" s="76" t="s">
        <v>422</v>
      </c>
      <c r="J1207" s="76" t="s">
        <v>384</v>
      </c>
      <c r="K1207" s="76" t="s">
        <v>2644</v>
      </c>
      <c r="L1207" s="76" t="s">
        <v>424</v>
      </c>
      <c r="M1207" s="76" t="s">
        <v>2202</v>
      </c>
      <c r="N1207" s="76">
        <v>500</v>
      </c>
      <c r="O1207" s="76">
        <v>490</v>
      </c>
      <c r="P1207" s="78">
        <v>0.02</v>
      </c>
    </row>
    <row r="1208" spans="7:16" x14ac:dyDescent="0.3">
      <c r="G1208" t="s">
        <v>2645</v>
      </c>
      <c r="H1208" s="76" t="s">
        <v>449</v>
      </c>
      <c r="I1208" s="76" t="s">
        <v>450</v>
      </c>
      <c r="J1208" s="76" t="s">
        <v>360</v>
      </c>
      <c r="K1208" s="76" t="s">
        <v>2646</v>
      </c>
      <c r="L1208" s="76" t="s">
        <v>483</v>
      </c>
      <c r="M1208" s="76" t="s">
        <v>452</v>
      </c>
      <c r="N1208" s="76">
        <v>50</v>
      </c>
      <c r="O1208" s="76">
        <v>22</v>
      </c>
      <c r="P1208" s="78">
        <v>0.56000000000000005</v>
      </c>
    </row>
    <row r="1209" spans="7:16" x14ac:dyDescent="0.3">
      <c r="G1209" t="s">
        <v>2647</v>
      </c>
      <c r="H1209" s="76" t="s">
        <v>591</v>
      </c>
      <c r="I1209" s="76" t="s">
        <v>592</v>
      </c>
      <c r="J1209" s="76" t="s">
        <v>372</v>
      </c>
      <c r="K1209" s="77">
        <v>43318</v>
      </c>
      <c r="L1209" s="76" t="s">
        <v>379</v>
      </c>
      <c r="M1209" s="76" t="s">
        <v>1197</v>
      </c>
      <c r="N1209" s="76">
        <v>150</v>
      </c>
      <c r="O1209" s="76">
        <v>129</v>
      </c>
      <c r="P1209" s="78">
        <v>0.14000000000000001</v>
      </c>
    </row>
    <row r="1210" spans="7:16" x14ac:dyDescent="0.3">
      <c r="G1210" t="s">
        <v>2648</v>
      </c>
      <c r="H1210" s="76" t="s">
        <v>473</v>
      </c>
      <c r="I1210" s="76" t="s">
        <v>404</v>
      </c>
      <c r="J1210" s="76" t="s">
        <v>360</v>
      </c>
      <c r="K1210" s="77">
        <v>41767</v>
      </c>
      <c r="L1210" s="76" t="s">
        <v>361</v>
      </c>
      <c r="M1210" s="76" t="s">
        <v>802</v>
      </c>
      <c r="N1210" s="76">
        <v>80</v>
      </c>
      <c r="O1210" s="76">
        <v>78</v>
      </c>
      <c r="P1210" s="78">
        <v>2.5000000000000001E-2</v>
      </c>
    </row>
    <row r="1211" spans="7:16" x14ac:dyDescent="0.3">
      <c r="G1211" t="s">
        <v>2649</v>
      </c>
      <c r="H1211" s="76" t="s">
        <v>489</v>
      </c>
      <c r="I1211" s="76" t="s">
        <v>490</v>
      </c>
      <c r="J1211" s="76" t="s">
        <v>360</v>
      </c>
      <c r="K1211" s="76" t="s">
        <v>2650</v>
      </c>
      <c r="L1211" s="76" t="s">
        <v>475</v>
      </c>
      <c r="M1211" s="76" t="s">
        <v>492</v>
      </c>
      <c r="N1211" s="76">
        <v>250</v>
      </c>
      <c r="O1211" s="76">
        <v>208</v>
      </c>
      <c r="P1211" s="78">
        <v>0.16800000000000001</v>
      </c>
    </row>
    <row r="1212" spans="7:16" x14ac:dyDescent="0.3">
      <c r="G1212" t="s">
        <v>2651</v>
      </c>
      <c r="H1212" s="76" t="s">
        <v>454</v>
      </c>
      <c r="I1212" s="76" t="s">
        <v>455</v>
      </c>
      <c r="J1212" s="76" t="s">
        <v>360</v>
      </c>
      <c r="K1212" s="76" t="s">
        <v>2652</v>
      </c>
      <c r="L1212" s="76" t="s">
        <v>483</v>
      </c>
      <c r="M1212" s="76" t="s">
        <v>1318</v>
      </c>
      <c r="N1212" s="76">
        <v>50</v>
      </c>
      <c r="O1212" s="76">
        <v>37</v>
      </c>
      <c r="P1212" s="78">
        <v>0.26</v>
      </c>
    </row>
    <row r="1213" spans="7:16" x14ac:dyDescent="0.3">
      <c r="G1213" t="s">
        <v>2653</v>
      </c>
      <c r="H1213" s="76" t="s">
        <v>891</v>
      </c>
      <c r="I1213" s="76" t="s">
        <v>892</v>
      </c>
      <c r="J1213" s="76" t="s">
        <v>372</v>
      </c>
      <c r="K1213" s="77">
        <v>42005</v>
      </c>
      <c r="L1213" s="76" t="s">
        <v>379</v>
      </c>
      <c r="M1213" s="76" t="s">
        <v>1046</v>
      </c>
      <c r="N1213" s="76">
        <v>150</v>
      </c>
      <c r="O1213" s="76">
        <v>143</v>
      </c>
      <c r="P1213" s="78">
        <v>4.6699999999999998E-2</v>
      </c>
    </row>
    <row r="1214" spans="7:16" x14ac:dyDescent="0.3">
      <c r="G1214" t="s">
        <v>2654</v>
      </c>
      <c r="H1214" s="76" t="s">
        <v>364</v>
      </c>
      <c r="I1214" s="76" t="s">
        <v>365</v>
      </c>
      <c r="J1214" s="76" t="s">
        <v>366</v>
      </c>
      <c r="K1214" s="76" t="s">
        <v>1698</v>
      </c>
      <c r="L1214" s="76" t="s">
        <v>483</v>
      </c>
      <c r="M1214" s="76" t="s">
        <v>1350</v>
      </c>
      <c r="N1214" s="76">
        <v>50</v>
      </c>
      <c r="O1214" s="76">
        <v>46</v>
      </c>
      <c r="P1214" s="78">
        <v>0.08</v>
      </c>
    </row>
    <row r="1215" spans="7:16" x14ac:dyDescent="0.3">
      <c r="G1215" t="s">
        <v>2655</v>
      </c>
      <c r="H1215" s="76" t="s">
        <v>591</v>
      </c>
      <c r="I1215" s="76" t="s">
        <v>592</v>
      </c>
      <c r="J1215" s="76" t="s">
        <v>372</v>
      </c>
      <c r="K1215" s="76" t="s">
        <v>1793</v>
      </c>
      <c r="L1215" s="76" t="s">
        <v>391</v>
      </c>
      <c r="M1215" s="76" t="s">
        <v>1225</v>
      </c>
      <c r="N1215" s="76">
        <v>30</v>
      </c>
      <c r="O1215" s="76">
        <v>29</v>
      </c>
      <c r="P1215" s="78">
        <v>3.3300000000000003E-2</v>
      </c>
    </row>
    <row r="1216" spans="7:16" x14ac:dyDescent="0.3">
      <c r="G1216" t="s">
        <v>2656</v>
      </c>
      <c r="H1216" s="76" t="s">
        <v>675</v>
      </c>
      <c r="I1216" s="76" t="s">
        <v>676</v>
      </c>
      <c r="J1216" s="76" t="s">
        <v>384</v>
      </c>
      <c r="K1216" s="76" t="s">
        <v>588</v>
      </c>
      <c r="L1216" s="76" t="s">
        <v>483</v>
      </c>
      <c r="M1216" s="76" t="s">
        <v>1395</v>
      </c>
      <c r="N1216" s="76">
        <v>50</v>
      </c>
      <c r="O1216" s="76">
        <v>44</v>
      </c>
      <c r="P1216" s="78">
        <v>0.12</v>
      </c>
    </row>
    <row r="1217" spans="7:16" x14ac:dyDescent="0.3">
      <c r="G1217" t="s">
        <v>2657</v>
      </c>
      <c r="H1217" s="76" t="s">
        <v>438</v>
      </c>
      <c r="I1217" s="76" t="s">
        <v>439</v>
      </c>
      <c r="J1217" s="76" t="s">
        <v>360</v>
      </c>
      <c r="K1217" s="77">
        <v>43078</v>
      </c>
      <c r="L1217" s="76" t="s">
        <v>391</v>
      </c>
      <c r="M1217" s="76" t="s">
        <v>1150</v>
      </c>
      <c r="N1217" s="76">
        <v>30</v>
      </c>
      <c r="O1217" s="76">
        <v>29</v>
      </c>
      <c r="P1217" s="78">
        <v>3.3300000000000003E-2</v>
      </c>
    </row>
    <row r="1218" spans="7:16" x14ac:dyDescent="0.3">
      <c r="G1218" t="s">
        <v>2658</v>
      </c>
      <c r="H1218" s="76" t="s">
        <v>514</v>
      </c>
      <c r="I1218" s="76" t="s">
        <v>515</v>
      </c>
      <c r="J1218" s="76" t="s">
        <v>360</v>
      </c>
      <c r="K1218" s="77">
        <v>41916</v>
      </c>
      <c r="L1218" s="76" t="s">
        <v>405</v>
      </c>
      <c r="M1218" s="76" t="s">
        <v>792</v>
      </c>
      <c r="N1218" s="76">
        <v>800</v>
      </c>
      <c r="O1218" s="76">
        <v>720</v>
      </c>
      <c r="P1218" s="78">
        <v>0.1</v>
      </c>
    </row>
    <row r="1219" spans="7:16" x14ac:dyDescent="0.3">
      <c r="G1219" t="s">
        <v>2659</v>
      </c>
      <c r="H1219" s="76" t="s">
        <v>591</v>
      </c>
      <c r="I1219" s="76" t="s">
        <v>592</v>
      </c>
      <c r="J1219" s="76" t="s">
        <v>372</v>
      </c>
      <c r="K1219" s="77">
        <v>41917</v>
      </c>
      <c r="L1219" s="76" t="s">
        <v>396</v>
      </c>
      <c r="M1219" s="76" t="s">
        <v>2660</v>
      </c>
      <c r="N1219" s="76">
        <v>500</v>
      </c>
      <c r="O1219" s="76">
        <v>430</v>
      </c>
      <c r="P1219" s="78">
        <v>0.14000000000000001</v>
      </c>
    </row>
    <row r="1220" spans="7:16" x14ac:dyDescent="0.3">
      <c r="G1220" t="s">
        <v>2661</v>
      </c>
      <c r="H1220" s="76" t="s">
        <v>638</v>
      </c>
      <c r="I1220" s="76" t="s">
        <v>639</v>
      </c>
      <c r="J1220" s="76" t="s">
        <v>360</v>
      </c>
      <c r="K1220" s="77">
        <v>42829</v>
      </c>
      <c r="L1220" s="76" t="s">
        <v>391</v>
      </c>
      <c r="M1220" s="76" t="s">
        <v>641</v>
      </c>
      <c r="N1220" s="76">
        <v>30</v>
      </c>
      <c r="O1220" s="76">
        <v>29</v>
      </c>
      <c r="P1220" s="78">
        <v>3.3300000000000003E-2</v>
      </c>
    </row>
    <row r="1221" spans="7:16" x14ac:dyDescent="0.3">
      <c r="G1221" t="s">
        <v>2662</v>
      </c>
      <c r="H1221" s="76" t="s">
        <v>547</v>
      </c>
      <c r="I1221" s="76" t="s">
        <v>548</v>
      </c>
      <c r="J1221" s="76" t="s">
        <v>360</v>
      </c>
      <c r="K1221" s="76" t="s">
        <v>855</v>
      </c>
      <c r="L1221" s="76" t="s">
        <v>461</v>
      </c>
      <c r="M1221" s="76" t="s">
        <v>1005</v>
      </c>
      <c r="N1221" s="76">
        <v>70</v>
      </c>
      <c r="O1221" s="76">
        <v>53</v>
      </c>
      <c r="P1221" s="78">
        <v>0.2429</v>
      </c>
    </row>
    <row r="1222" spans="7:16" x14ac:dyDescent="0.3">
      <c r="G1222" t="s">
        <v>2663</v>
      </c>
      <c r="H1222" s="76" t="s">
        <v>464</v>
      </c>
      <c r="I1222" s="76" t="s">
        <v>465</v>
      </c>
      <c r="J1222" s="76" t="s">
        <v>366</v>
      </c>
      <c r="K1222" s="77">
        <v>41739</v>
      </c>
      <c r="L1222" s="76" t="s">
        <v>483</v>
      </c>
      <c r="M1222" s="76" t="s">
        <v>1575</v>
      </c>
      <c r="N1222" s="76">
        <v>50</v>
      </c>
      <c r="O1222" s="76">
        <v>41</v>
      </c>
      <c r="P1222" s="78">
        <v>0.18</v>
      </c>
    </row>
    <row r="1223" spans="7:16" x14ac:dyDescent="0.3">
      <c r="G1223" t="s">
        <v>2664</v>
      </c>
      <c r="H1223" s="76" t="s">
        <v>700</v>
      </c>
      <c r="I1223" s="76" t="s">
        <v>465</v>
      </c>
      <c r="J1223" s="76" t="s">
        <v>366</v>
      </c>
      <c r="K1223" s="76" t="s">
        <v>1253</v>
      </c>
      <c r="L1223" s="76" t="s">
        <v>405</v>
      </c>
      <c r="M1223" s="76" t="s">
        <v>1611</v>
      </c>
      <c r="N1223" s="76">
        <v>800</v>
      </c>
      <c r="O1223" s="76">
        <v>600</v>
      </c>
      <c r="P1223" s="78">
        <v>0.25</v>
      </c>
    </row>
    <row r="1224" spans="7:16" x14ac:dyDescent="0.3">
      <c r="G1224" t="s">
        <v>2665</v>
      </c>
      <c r="H1224" s="76" t="s">
        <v>409</v>
      </c>
      <c r="I1224" s="76" t="s">
        <v>410</v>
      </c>
      <c r="J1224" s="76" t="s">
        <v>360</v>
      </c>
      <c r="K1224" s="77">
        <v>42622</v>
      </c>
      <c r="L1224" s="76" t="s">
        <v>379</v>
      </c>
      <c r="M1224" s="76" t="s">
        <v>2666</v>
      </c>
      <c r="N1224" s="76">
        <v>150</v>
      </c>
      <c r="O1224" s="76">
        <v>143</v>
      </c>
      <c r="P1224" s="78">
        <v>4.6699999999999998E-2</v>
      </c>
    </row>
    <row r="1225" spans="7:16" x14ac:dyDescent="0.3">
      <c r="G1225" t="s">
        <v>2667</v>
      </c>
      <c r="H1225" s="76" t="s">
        <v>497</v>
      </c>
      <c r="I1225" s="76" t="s">
        <v>445</v>
      </c>
      <c r="J1225" s="76" t="s">
        <v>384</v>
      </c>
      <c r="K1225" s="76" t="s">
        <v>2668</v>
      </c>
      <c r="L1225" s="76" t="s">
        <v>396</v>
      </c>
      <c r="M1225" s="76" t="s">
        <v>1450</v>
      </c>
      <c r="N1225" s="76">
        <v>500</v>
      </c>
      <c r="O1225" s="76">
        <v>480</v>
      </c>
      <c r="P1225" s="78">
        <v>0.04</v>
      </c>
    </row>
    <row r="1226" spans="7:16" x14ac:dyDescent="0.3">
      <c r="G1226" t="s">
        <v>2669</v>
      </c>
      <c r="H1226" s="76" t="s">
        <v>473</v>
      </c>
      <c r="I1226" s="76" t="s">
        <v>404</v>
      </c>
      <c r="J1226" s="76" t="s">
        <v>360</v>
      </c>
      <c r="K1226" s="76" t="s">
        <v>2670</v>
      </c>
      <c r="L1226" s="76" t="s">
        <v>424</v>
      </c>
      <c r="M1226" s="76" t="s">
        <v>1742</v>
      </c>
      <c r="N1226" s="76">
        <v>500</v>
      </c>
      <c r="O1226" s="76">
        <v>495</v>
      </c>
      <c r="P1226" s="78">
        <v>0.01</v>
      </c>
    </row>
    <row r="1227" spans="7:16" x14ac:dyDescent="0.3">
      <c r="G1227" t="s">
        <v>2671</v>
      </c>
      <c r="H1227" s="76" t="s">
        <v>747</v>
      </c>
      <c r="I1227" s="76" t="s">
        <v>748</v>
      </c>
      <c r="J1227" s="76" t="s">
        <v>360</v>
      </c>
      <c r="K1227" s="76" t="s">
        <v>1238</v>
      </c>
      <c r="L1227" s="76" t="s">
        <v>379</v>
      </c>
      <c r="M1227" s="76" t="s">
        <v>1977</v>
      </c>
      <c r="N1227" s="76">
        <v>150</v>
      </c>
      <c r="O1227" s="76">
        <v>147</v>
      </c>
      <c r="P1227" s="78">
        <v>0.02</v>
      </c>
    </row>
    <row r="1228" spans="7:16" x14ac:dyDescent="0.3">
      <c r="G1228" t="s">
        <v>2672</v>
      </c>
      <c r="H1228" s="76" t="s">
        <v>489</v>
      </c>
      <c r="I1228" s="76" t="s">
        <v>490</v>
      </c>
      <c r="J1228" s="76" t="s">
        <v>360</v>
      </c>
      <c r="K1228" s="77">
        <v>42686</v>
      </c>
      <c r="L1228" s="76" t="s">
        <v>483</v>
      </c>
      <c r="M1228" s="76" t="s">
        <v>1539</v>
      </c>
      <c r="N1228" s="76">
        <v>50</v>
      </c>
      <c r="O1228" s="76">
        <v>49</v>
      </c>
      <c r="P1228" s="78">
        <v>0.02</v>
      </c>
    </row>
    <row r="1229" spans="7:16" x14ac:dyDescent="0.3">
      <c r="G1229" t="s">
        <v>2673</v>
      </c>
      <c r="H1229" s="76" t="s">
        <v>547</v>
      </c>
      <c r="I1229" s="76" t="s">
        <v>548</v>
      </c>
      <c r="J1229" s="76" t="s">
        <v>360</v>
      </c>
      <c r="K1229" s="76" t="s">
        <v>1823</v>
      </c>
      <c r="L1229" s="76" t="s">
        <v>361</v>
      </c>
      <c r="M1229" s="76" t="s">
        <v>680</v>
      </c>
      <c r="N1229" s="76">
        <v>80</v>
      </c>
      <c r="O1229" s="76">
        <v>69</v>
      </c>
      <c r="P1229" s="78">
        <v>0.13750000000000001</v>
      </c>
    </row>
    <row r="1230" spans="7:16" x14ac:dyDescent="0.3">
      <c r="G1230" t="s">
        <v>2674</v>
      </c>
      <c r="H1230" s="76" t="s">
        <v>438</v>
      </c>
      <c r="I1230" s="76" t="s">
        <v>439</v>
      </c>
      <c r="J1230" s="76" t="s">
        <v>360</v>
      </c>
      <c r="K1230" s="76" t="s">
        <v>2675</v>
      </c>
      <c r="L1230" s="76" t="s">
        <v>391</v>
      </c>
      <c r="M1230" s="76" t="s">
        <v>1980</v>
      </c>
      <c r="N1230" s="76">
        <v>30</v>
      </c>
      <c r="O1230" s="76">
        <v>26</v>
      </c>
      <c r="P1230" s="78">
        <v>0.1333</v>
      </c>
    </row>
    <row r="1231" spans="7:16" x14ac:dyDescent="0.3">
      <c r="G1231" t="s">
        <v>2676</v>
      </c>
      <c r="H1231" s="76" t="s">
        <v>514</v>
      </c>
      <c r="I1231" s="76" t="s">
        <v>515</v>
      </c>
      <c r="J1231" s="76" t="s">
        <v>360</v>
      </c>
      <c r="K1231" s="76" t="s">
        <v>2169</v>
      </c>
      <c r="L1231" s="76" t="s">
        <v>405</v>
      </c>
      <c r="M1231" s="76" t="s">
        <v>1658</v>
      </c>
      <c r="N1231" s="76">
        <v>800</v>
      </c>
      <c r="O1231" s="76">
        <v>592</v>
      </c>
      <c r="P1231" s="78">
        <v>0.26</v>
      </c>
    </row>
    <row r="1232" spans="7:16" x14ac:dyDescent="0.3">
      <c r="G1232" t="s">
        <v>2677</v>
      </c>
      <c r="H1232" s="76" t="s">
        <v>388</v>
      </c>
      <c r="I1232" s="76" t="s">
        <v>389</v>
      </c>
      <c r="J1232" s="76" t="s">
        <v>384</v>
      </c>
      <c r="K1232" s="77">
        <v>41644</v>
      </c>
      <c r="L1232" s="76" t="s">
        <v>373</v>
      </c>
      <c r="M1232" s="76" t="s">
        <v>2482</v>
      </c>
      <c r="N1232" s="76">
        <v>700</v>
      </c>
      <c r="O1232" s="76">
        <v>560</v>
      </c>
      <c r="P1232" s="78">
        <v>0.2</v>
      </c>
    </row>
    <row r="1233" spans="7:16" x14ac:dyDescent="0.3">
      <c r="G1233" t="s">
        <v>2678</v>
      </c>
      <c r="H1233" s="76" t="s">
        <v>591</v>
      </c>
      <c r="I1233" s="76" t="s">
        <v>592</v>
      </c>
      <c r="J1233" s="76" t="s">
        <v>372</v>
      </c>
      <c r="K1233" s="76" t="s">
        <v>2679</v>
      </c>
      <c r="L1233" s="76" t="s">
        <v>483</v>
      </c>
      <c r="M1233" s="76" t="s">
        <v>2285</v>
      </c>
      <c r="N1233" s="76">
        <v>50</v>
      </c>
      <c r="O1233" s="76">
        <v>45</v>
      </c>
      <c r="P1233" s="78">
        <v>0.1</v>
      </c>
    </row>
    <row r="1234" spans="7:16" x14ac:dyDescent="0.3">
      <c r="G1234" t="s">
        <v>2680</v>
      </c>
      <c r="H1234" s="76" t="s">
        <v>429</v>
      </c>
      <c r="I1234" s="76" t="s">
        <v>430</v>
      </c>
      <c r="J1234" s="76" t="s">
        <v>384</v>
      </c>
      <c r="K1234" s="77">
        <v>42097</v>
      </c>
      <c r="L1234" s="76" t="s">
        <v>461</v>
      </c>
      <c r="M1234" s="76" t="s">
        <v>2681</v>
      </c>
      <c r="N1234" s="76">
        <v>70</v>
      </c>
      <c r="O1234" s="76">
        <v>67</v>
      </c>
      <c r="P1234" s="78">
        <v>4.2900000000000001E-2</v>
      </c>
    </row>
    <row r="1235" spans="7:16" x14ac:dyDescent="0.3">
      <c r="G1235" t="s">
        <v>2682</v>
      </c>
      <c r="H1235" s="76" t="s">
        <v>497</v>
      </c>
      <c r="I1235" s="76" t="s">
        <v>445</v>
      </c>
      <c r="J1235" s="76" t="s">
        <v>384</v>
      </c>
      <c r="K1235" s="77">
        <v>42560</v>
      </c>
      <c r="L1235" s="76" t="s">
        <v>475</v>
      </c>
      <c r="M1235" s="76" t="s">
        <v>1828</v>
      </c>
      <c r="N1235" s="76">
        <v>250</v>
      </c>
      <c r="O1235" s="76">
        <v>240</v>
      </c>
      <c r="P1235" s="78">
        <v>0.04</v>
      </c>
    </row>
    <row r="1236" spans="7:16" x14ac:dyDescent="0.3">
      <c r="G1236" t="s">
        <v>2683</v>
      </c>
      <c r="H1236" s="76" t="s">
        <v>394</v>
      </c>
      <c r="I1236" s="76" t="s">
        <v>395</v>
      </c>
      <c r="J1236" s="76" t="s">
        <v>372</v>
      </c>
      <c r="K1236" s="76" t="s">
        <v>2684</v>
      </c>
      <c r="L1236" s="76" t="s">
        <v>385</v>
      </c>
      <c r="M1236" s="76" t="s">
        <v>1843</v>
      </c>
      <c r="N1236" s="76">
        <v>50</v>
      </c>
      <c r="O1236" s="76">
        <v>46</v>
      </c>
      <c r="P1236" s="78">
        <v>0.08</v>
      </c>
    </row>
    <row r="1237" spans="7:16" x14ac:dyDescent="0.3">
      <c r="G1237" t="s">
        <v>2685</v>
      </c>
      <c r="H1237" s="76" t="s">
        <v>519</v>
      </c>
      <c r="I1237" s="76" t="s">
        <v>520</v>
      </c>
      <c r="J1237" s="76" t="s">
        <v>360</v>
      </c>
      <c r="K1237" s="77">
        <v>43143</v>
      </c>
      <c r="L1237" s="76" t="s">
        <v>475</v>
      </c>
      <c r="M1237" s="76" t="s">
        <v>522</v>
      </c>
      <c r="N1237" s="76">
        <v>250</v>
      </c>
      <c r="O1237" s="76">
        <v>240</v>
      </c>
      <c r="P1237" s="78">
        <v>0.04</v>
      </c>
    </row>
    <row r="1238" spans="7:16" x14ac:dyDescent="0.3">
      <c r="G1238" t="s">
        <v>2686</v>
      </c>
      <c r="H1238" s="76" t="s">
        <v>591</v>
      </c>
      <c r="I1238" s="76" t="s">
        <v>592</v>
      </c>
      <c r="J1238" s="76" t="s">
        <v>372</v>
      </c>
      <c r="K1238" s="77">
        <v>42005</v>
      </c>
      <c r="L1238" s="76" t="s">
        <v>475</v>
      </c>
      <c r="M1238" s="76" t="s">
        <v>1112</v>
      </c>
      <c r="N1238" s="76">
        <v>250</v>
      </c>
      <c r="O1238" s="76">
        <v>220</v>
      </c>
      <c r="P1238" s="78">
        <v>0.12</v>
      </c>
    </row>
    <row r="1239" spans="7:16" x14ac:dyDescent="0.3">
      <c r="G1239" t="s">
        <v>2687</v>
      </c>
      <c r="H1239" s="76" t="s">
        <v>434</v>
      </c>
      <c r="I1239" s="76" t="s">
        <v>435</v>
      </c>
      <c r="J1239" s="76" t="s">
        <v>360</v>
      </c>
      <c r="K1239" s="76" t="s">
        <v>2688</v>
      </c>
      <c r="L1239" s="76" t="s">
        <v>385</v>
      </c>
      <c r="M1239" s="76" t="s">
        <v>1055</v>
      </c>
      <c r="N1239" s="76">
        <v>50</v>
      </c>
      <c r="O1239" s="76">
        <v>34</v>
      </c>
      <c r="P1239" s="78">
        <v>0.32</v>
      </c>
    </row>
    <row r="1240" spans="7:16" x14ac:dyDescent="0.3">
      <c r="G1240" t="s">
        <v>2689</v>
      </c>
      <c r="H1240" s="76" t="s">
        <v>370</v>
      </c>
      <c r="I1240" s="76" t="s">
        <v>371</v>
      </c>
      <c r="J1240" s="76" t="s">
        <v>372</v>
      </c>
      <c r="K1240" s="76" t="s">
        <v>2690</v>
      </c>
      <c r="L1240" s="76" t="s">
        <v>424</v>
      </c>
      <c r="M1240" s="76" t="s">
        <v>958</v>
      </c>
      <c r="N1240" s="76">
        <v>500</v>
      </c>
      <c r="O1240" s="76">
        <v>490</v>
      </c>
      <c r="P1240" s="78">
        <v>0.02</v>
      </c>
    </row>
    <row r="1241" spans="7:16" x14ac:dyDescent="0.3">
      <c r="G1241" t="s">
        <v>2691</v>
      </c>
      <c r="H1241" s="76" t="s">
        <v>459</v>
      </c>
      <c r="I1241" s="76" t="s">
        <v>422</v>
      </c>
      <c r="J1241" s="76" t="s">
        <v>384</v>
      </c>
      <c r="K1241" s="77">
        <v>42747</v>
      </c>
      <c r="L1241" s="76" t="s">
        <v>405</v>
      </c>
      <c r="M1241" s="76" t="s">
        <v>977</v>
      </c>
      <c r="N1241" s="76">
        <v>800</v>
      </c>
      <c r="O1241" s="76">
        <v>608</v>
      </c>
      <c r="P1241" s="78">
        <v>0.24</v>
      </c>
    </row>
    <row r="1242" spans="7:16" x14ac:dyDescent="0.3">
      <c r="G1242" t="s">
        <v>2692</v>
      </c>
      <c r="H1242" s="76" t="s">
        <v>464</v>
      </c>
      <c r="I1242" s="76" t="s">
        <v>465</v>
      </c>
      <c r="J1242" s="76" t="s">
        <v>366</v>
      </c>
      <c r="K1242" s="76" t="s">
        <v>1358</v>
      </c>
      <c r="L1242" s="76" t="s">
        <v>391</v>
      </c>
      <c r="M1242" s="76" t="s">
        <v>1407</v>
      </c>
      <c r="N1242" s="76">
        <v>30</v>
      </c>
      <c r="O1242" s="76">
        <v>29</v>
      </c>
      <c r="P1242" s="78">
        <v>3.3300000000000003E-2</v>
      </c>
    </row>
    <row r="1243" spans="7:16" x14ac:dyDescent="0.3">
      <c r="G1243" t="s">
        <v>2693</v>
      </c>
      <c r="H1243" s="76" t="s">
        <v>364</v>
      </c>
      <c r="I1243" s="76" t="s">
        <v>365</v>
      </c>
      <c r="J1243" s="76" t="s">
        <v>366</v>
      </c>
      <c r="K1243" s="76" t="s">
        <v>795</v>
      </c>
      <c r="L1243" s="76" t="s">
        <v>475</v>
      </c>
      <c r="M1243" s="76" t="s">
        <v>442</v>
      </c>
      <c r="N1243" s="76">
        <v>250</v>
      </c>
      <c r="O1243" s="76">
        <v>235</v>
      </c>
      <c r="P1243" s="78">
        <v>0.06</v>
      </c>
    </row>
    <row r="1244" spans="7:16" x14ac:dyDescent="0.3">
      <c r="G1244" t="s">
        <v>2694</v>
      </c>
      <c r="H1244" s="76" t="s">
        <v>551</v>
      </c>
      <c r="I1244" s="76" t="s">
        <v>552</v>
      </c>
      <c r="J1244" s="76" t="s">
        <v>360</v>
      </c>
      <c r="K1244" s="77">
        <v>43045</v>
      </c>
      <c r="L1244" s="76" t="s">
        <v>396</v>
      </c>
      <c r="M1244" s="76" t="s">
        <v>553</v>
      </c>
      <c r="N1244" s="76">
        <v>500</v>
      </c>
      <c r="O1244" s="76">
        <v>465</v>
      </c>
      <c r="P1244" s="78">
        <v>7.0000000000000007E-2</v>
      </c>
    </row>
    <row r="1245" spans="7:16" x14ac:dyDescent="0.3">
      <c r="G1245" t="s">
        <v>2695</v>
      </c>
      <c r="H1245" s="76" t="s">
        <v>619</v>
      </c>
      <c r="I1245" s="76" t="s">
        <v>620</v>
      </c>
      <c r="J1245" s="76" t="s">
        <v>372</v>
      </c>
      <c r="K1245" s="77">
        <v>42623</v>
      </c>
      <c r="L1245" s="76" t="s">
        <v>379</v>
      </c>
      <c r="M1245" s="76" t="s">
        <v>621</v>
      </c>
      <c r="N1245" s="76">
        <v>150</v>
      </c>
      <c r="O1245" s="76">
        <v>140</v>
      </c>
      <c r="P1245" s="78">
        <v>6.6699999999999995E-2</v>
      </c>
    </row>
    <row r="1246" spans="7:16" x14ac:dyDescent="0.3">
      <c r="G1246" t="s">
        <v>2696</v>
      </c>
      <c r="H1246" s="76" t="s">
        <v>619</v>
      </c>
      <c r="I1246" s="76" t="s">
        <v>620</v>
      </c>
      <c r="J1246" s="76" t="s">
        <v>372</v>
      </c>
      <c r="K1246" s="77">
        <v>42896</v>
      </c>
      <c r="L1246" s="76" t="s">
        <v>373</v>
      </c>
      <c r="M1246" s="76" t="s">
        <v>1681</v>
      </c>
      <c r="N1246" s="76">
        <v>700</v>
      </c>
      <c r="O1246" s="76">
        <v>658</v>
      </c>
      <c r="P1246" s="78">
        <v>0.06</v>
      </c>
    </row>
    <row r="1247" spans="7:16" x14ac:dyDescent="0.3">
      <c r="G1247" t="s">
        <v>2697</v>
      </c>
      <c r="H1247" s="76" t="s">
        <v>370</v>
      </c>
      <c r="I1247" s="76" t="s">
        <v>371</v>
      </c>
      <c r="J1247" s="76" t="s">
        <v>372</v>
      </c>
      <c r="K1247" s="77">
        <v>41645</v>
      </c>
      <c r="L1247" s="76" t="s">
        <v>411</v>
      </c>
      <c r="M1247" s="76" t="s">
        <v>512</v>
      </c>
      <c r="N1247" s="76">
        <v>1000</v>
      </c>
      <c r="O1247" s="76">
        <v>600</v>
      </c>
      <c r="P1247" s="78">
        <v>0.4</v>
      </c>
    </row>
    <row r="1248" spans="7:16" x14ac:dyDescent="0.3">
      <c r="G1248" t="s">
        <v>2698</v>
      </c>
      <c r="H1248" s="76" t="s">
        <v>615</v>
      </c>
      <c r="I1248" s="76" t="s">
        <v>400</v>
      </c>
      <c r="J1248" s="76" t="s">
        <v>372</v>
      </c>
      <c r="K1248" s="76" t="s">
        <v>416</v>
      </c>
      <c r="L1248" s="76" t="s">
        <v>483</v>
      </c>
      <c r="M1248" s="76" t="s">
        <v>1965</v>
      </c>
      <c r="N1248" s="76">
        <v>50</v>
      </c>
      <c r="O1248" s="76">
        <v>44</v>
      </c>
      <c r="P1248" s="78">
        <v>0.12</v>
      </c>
    </row>
    <row r="1249" spans="7:16" x14ac:dyDescent="0.3">
      <c r="G1249" t="s">
        <v>2699</v>
      </c>
      <c r="H1249" s="76" t="s">
        <v>494</v>
      </c>
      <c r="I1249" s="76" t="s">
        <v>465</v>
      </c>
      <c r="J1249" s="76" t="s">
        <v>366</v>
      </c>
      <c r="K1249" s="76" t="s">
        <v>2411</v>
      </c>
      <c r="L1249" s="76" t="s">
        <v>405</v>
      </c>
      <c r="M1249" s="76" t="s">
        <v>1041</v>
      </c>
      <c r="N1249" s="76">
        <v>800</v>
      </c>
      <c r="O1249" s="76">
        <v>544</v>
      </c>
      <c r="P1249" s="78">
        <v>0.32</v>
      </c>
    </row>
    <row r="1250" spans="7:16" x14ac:dyDescent="0.3">
      <c r="G1250" t="s">
        <v>2700</v>
      </c>
      <c r="H1250" s="76" t="s">
        <v>528</v>
      </c>
      <c r="I1250" s="76" t="s">
        <v>465</v>
      </c>
      <c r="J1250" s="76" t="s">
        <v>366</v>
      </c>
      <c r="K1250" s="76" t="s">
        <v>2701</v>
      </c>
      <c r="L1250" s="76" t="s">
        <v>461</v>
      </c>
      <c r="M1250" s="76" t="s">
        <v>1623</v>
      </c>
      <c r="N1250" s="76">
        <v>70</v>
      </c>
      <c r="O1250" s="76">
        <v>68</v>
      </c>
      <c r="P1250" s="78">
        <v>2.86E-2</v>
      </c>
    </row>
    <row r="1251" spans="7:16" x14ac:dyDescent="0.3">
      <c r="G1251" t="s">
        <v>2702</v>
      </c>
      <c r="H1251" s="76" t="s">
        <v>478</v>
      </c>
      <c r="I1251" s="76" t="s">
        <v>479</v>
      </c>
      <c r="J1251" s="76" t="s">
        <v>384</v>
      </c>
      <c r="K1251" s="77">
        <v>42223</v>
      </c>
      <c r="L1251" s="76" t="s">
        <v>385</v>
      </c>
      <c r="M1251" s="76" t="s">
        <v>1033</v>
      </c>
      <c r="N1251" s="76">
        <v>50</v>
      </c>
      <c r="O1251" s="76">
        <v>50</v>
      </c>
      <c r="P1251" s="78">
        <v>0</v>
      </c>
    </row>
    <row r="1252" spans="7:16" x14ac:dyDescent="0.3">
      <c r="G1252" t="s">
        <v>2703</v>
      </c>
      <c r="H1252" s="76" t="s">
        <v>656</v>
      </c>
      <c r="I1252" s="76" t="s">
        <v>657</v>
      </c>
      <c r="J1252" s="76" t="s">
        <v>360</v>
      </c>
      <c r="K1252" s="77">
        <v>43134</v>
      </c>
      <c r="L1252" s="76" t="s">
        <v>379</v>
      </c>
      <c r="M1252" s="76" t="s">
        <v>1780</v>
      </c>
      <c r="N1252" s="76">
        <v>150</v>
      </c>
      <c r="O1252" s="76">
        <v>135</v>
      </c>
      <c r="P1252" s="78">
        <v>0.1</v>
      </c>
    </row>
    <row r="1253" spans="7:16" x14ac:dyDescent="0.3">
      <c r="G1253" t="s">
        <v>2704</v>
      </c>
      <c r="H1253" s="76" t="s">
        <v>403</v>
      </c>
      <c r="I1253" s="76" t="s">
        <v>404</v>
      </c>
      <c r="J1253" s="76" t="s">
        <v>360</v>
      </c>
      <c r="K1253" s="76" t="s">
        <v>2220</v>
      </c>
      <c r="L1253" s="76" t="s">
        <v>483</v>
      </c>
      <c r="M1253" s="76" t="s">
        <v>1403</v>
      </c>
      <c r="N1253" s="76">
        <v>50</v>
      </c>
      <c r="O1253" s="76">
        <v>50</v>
      </c>
      <c r="P1253" s="78">
        <v>0</v>
      </c>
    </row>
    <row r="1254" spans="7:16" x14ac:dyDescent="0.3">
      <c r="G1254" t="s">
        <v>2705</v>
      </c>
      <c r="H1254" s="76" t="s">
        <v>421</v>
      </c>
      <c r="I1254" s="76" t="s">
        <v>422</v>
      </c>
      <c r="J1254" s="76" t="s">
        <v>384</v>
      </c>
      <c r="K1254" s="77">
        <v>42259</v>
      </c>
      <c r="L1254" s="76" t="s">
        <v>385</v>
      </c>
      <c r="M1254" s="76" t="s">
        <v>2706</v>
      </c>
      <c r="N1254" s="76">
        <v>50</v>
      </c>
      <c r="O1254" s="76">
        <v>33</v>
      </c>
      <c r="P1254" s="78">
        <v>0.34</v>
      </c>
    </row>
    <row r="1255" spans="7:16" x14ac:dyDescent="0.3">
      <c r="G1255" t="s">
        <v>2707</v>
      </c>
      <c r="H1255" s="76" t="s">
        <v>675</v>
      </c>
      <c r="I1255" s="76" t="s">
        <v>676</v>
      </c>
      <c r="J1255" s="76" t="s">
        <v>384</v>
      </c>
      <c r="K1255" s="76" t="s">
        <v>2708</v>
      </c>
      <c r="L1255" s="76" t="s">
        <v>385</v>
      </c>
      <c r="M1255" s="76" t="s">
        <v>1266</v>
      </c>
      <c r="N1255" s="76">
        <v>50</v>
      </c>
      <c r="O1255" s="76">
        <v>46</v>
      </c>
      <c r="P1255" s="78">
        <v>0.08</v>
      </c>
    </row>
    <row r="1256" spans="7:16" x14ac:dyDescent="0.3">
      <c r="G1256" t="s">
        <v>2709</v>
      </c>
      <c r="H1256" s="76" t="s">
        <v>449</v>
      </c>
      <c r="I1256" s="76" t="s">
        <v>450</v>
      </c>
      <c r="J1256" s="76" t="s">
        <v>360</v>
      </c>
      <c r="K1256" s="76" t="s">
        <v>2171</v>
      </c>
      <c r="L1256" s="76" t="s">
        <v>396</v>
      </c>
      <c r="M1256" s="76" t="s">
        <v>558</v>
      </c>
      <c r="N1256" s="76">
        <v>500</v>
      </c>
      <c r="O1256" s="76">
        <v>370</v>
      </c>
      <c r="P1256" s="78">
        <v>0.26</v>
      </c>
    </row>
    <row r="1257" spans="7:16" x14ac:dyDescent="0.3">
      <c r="G1257" t="s">
        <v>2710</v>
      </c>
      <c r="H1257" s="76" t="s">
        <v>675</v>
      </c>
      <c r="I1257" s="76" t="s">
        <v>676</v>
      </c>
      <c r="J1257" s="76" t="s">
        <v>384</v>
      </c>
      <c r="K1257" s="77">
        <v>42066</v>
      </c>
      <c r="L1257" s="76" t="s">
        <v>373</v>
      </c>
      <c r="M1257" s="76" t="s">
        <v>1395</v>
      </c>
      <c r="N1257" s="76">
        <v>700</v>
      </c>
      <c r="O1257" s="76">
        <v>448</v>
      </c>
      <c r="P1257" s="78">
        <v>0.36</v>
      </c>
    </row>
    <row r="1258" spans="7:16" x14ac:dyDescent="0.3">
      <c r="G1258" t="s">
        <v>2711</v>
      </c>
      <c r="H1258" s="76" t="s">
        <v>459</v>
      </c>
      <c r="I1258" s="76" t="s">
        <v>422</v>
      </c>
      <c r="J1258" s="76" t="s">
        <v>384</v>
      </c>
      <c r="K1258" s="76" t="s">
        <v>912</v>
      </c>
      <c r="L1258" s="76" t="s">
        <v>385</v>
      </c>
      <c r="M1258" s="76" t="s">
        <v>2712</v>
      </c>
      <c r="N1258" s="76">
        <v>50</v>
      </c>
      <c r="O1258" s="76">
        <v>48</v>
      </c>
      <c r="P1258" s="78">
        <v>0.04</v>
      </c>
    </row>
    <row r="1259" spans="7:16" x14ac:dyDescent="0.3">
      <c r="G1259" t="s">
        <v>2713</v>
      </c>
      <c r="H1259" s="76" t="s">
        <v>591</v>
      </c>
      <c r="I1259" s="76" t="s">
        <v>592</v>
      </c>
      <c r="J1259" s="76" t="s">
        <v>372</v>
      </c>
      <c r="K1259" s="76" t="s">
        <v>2714</v>
      </c>
      <c r="L1259" s="76" t="s">
        <v>424</v>
      </c>
      <c r="M1259" s="76" t="s">
        <v>2285</v>
      </c>
      <c r="N1259" s="76">
        <v>500</v>
      </c>
      <c r="O1259" s="76">
        <v>490</v>
      </c>
      <c r="P1259" s="78">
        <v>0.02</v>
      </c>
    </row>
    <row r="1260" spans="7:16" x14ac:dyDescent="0.3">
      <c r="G1260" t="s">
        <v>2715</v>
      </c>
      <c r="H1260" s="76" t="s">
        <v>358</v>
      </c>
      <c r="I1260" s="76" t="s">
        <v>359</v>
      </c>
      <c r="J1260" s="76" t="s">
        <v>360</v>
      </c>
      <c r="K1260" s="76" t="s">
        <v>2716</v>
      </c>
      <c r="L1260" s="76" t="s">
        <v>483</v>
      </c>
      <c r="M1260" s="76" t="s">
        <v>362</v>
      </c>
      <c r="N1260" s="76">
        <v>50</v>
      </c>
      <c r="O1260" s="76">
        <v>49</v>
      </c>
      <c r="P1260" s="78">
        <v>0.02</v>
      </c>
    </row>
    <row r="1261" spans="7:16" x14ac:dyDescent="0.3">
      <c r="G1261" t="s">
        <v>2717</v>
      </c>
      <c r="H1261" s="76" t="s">
        <v>478</v>
      </c>
      <c r="I1261" s="76" t="s">
        <v>479</v>
      </c>
      <c r="J1261" s="76" t="s">
        <v>384</v>
      </c>
      <c r="K1261" s="76" t="s">
        <v>1309</v>
      </c>
      <c r="L1261" s="76" t="s">
        <v>405</v>
      </c>
      <c r="M1261" s="76" t="s">
        <v>480</v>
      </c>
      <c r="N1261" s="76">
        <v>800</v>
      </c>
      <c r="O1261" s="76">
        <v>616</v>
      </c>
      <c r="P1261" s="78">
        <v>0.23</v>
      </c>
    </row>
    <row r="1262" spans="7:16" x14ac:dyDescent="0.3">
      <c r="G1262" t="s">
        <v>2718</v>
      </c>
      <c r="H1262" s="76" t="s">
        <v>394</v>
      </c>
      <c r="I1262" s="76" t="s">
        <v>395</v>
      </c>
      <c r="J1262" s="76" t="s">
        <v>372</v>
      </c>
      <c r="K1262" s="76" t="s">
        <v>2196</v>
      </c>
      <c r="L1262" s="76" t="s">
        <v>385</v>
      </c>
      <c r="M1262" s="76" t="s">
        <v>397</v>
      </c>
      <c r="N1262" s="76">
        <v>50</v>
      </c>
      <c r="O1262" s="76">
        <v>46</v>
      </c>
      <c r="P1262" s="78">
        <v>0.08</v>
      </c>
    </row>
    <row r="1263" spans="7:16" x14ac:dyDescent="0.3">
      <c r="G1263" t="s">
        <v>2719</v>
      </c>
      <c r="H1263" s="76" t="s">
        <v>528</v>
      </c>
      <c r="I1263" s="76" t="s">
        <v>465</v>
      </c>
      <c r="J1263" s="76" t="s">
        <v>366</v>
      </c>
      <c r="K1263" s="77">
        <v>42258</v>
      </c>
      <c r="L1263" s="76" t="s">
        <v>361</v>
      </c>
      <c r="M1263" s="76" t="s">
        <v>1545</v>
      </c>
      <c r="N1263" s="76">
        <v>80</v>
      </c>
      <c r="O1263" s="76">
        <v>70</v>
      </c>
      <c r="P1263" s="78">
        <v>0.125</v>
      </c>
    </row>
    <row r="1264" spans="7:16" x14ac:dyDescent="0.3">
      <c r="G1264" t="s">
        <v>2720</v>
      </c>
      <c r="H1264" s="76" t="s">
        <v>438</v>
      </c>
      <c r="I1264" s="76" t="s">
        <v>439</v>
      </c>
      <c r="J1264" s="76" t="s">
        <v>360</v>
      </c>
      <c r="K1264" s="76" t="s">
        <v>2721</v>
      </c>
      <c r="L1264" s="76" t="s">
        <v>396</v>
      </c>
      <c r="M1264" s="76" t="s">
        <v>2722</v>
      </c>
      <c r="N1264" s="76">
        <v>500</v>
      </c>
      <c r="O1264" s="76">
        <v>490</v>
      </c>
      <c r="P1264" s="78">
        <v>0.02</v>
      </c>
    </row>
    <row r="1265" spans="7:16" x14ac:dyDescent="0.3">
      <c r="G1265" t="s">
        <v>2723</v>
      </c>
      <c r="H1265" s="76" t="s">
        <v>438</v>
      </c>
      <c r="I1265" s="76" t="s">
        <v>439</v>
      </c>
      <c r="J1265" s="76" t="s">
        <v>360</v>
      </c>
      <c r="K1265" s="77">
        <v>41891</v>
      </c>
      <c r="L1265" s="76" t="s">
        <v>475</v>
      </c>
      <c r="M1265" s="76" t="s">
        <v>1002</v>
      </c>
      <c r="N1265" s="76">
        <v>250</v>
      </c>
      <c r="O1265" s="76">
        <v>190</v>
      </c>
      <c r="P1265" s="78">
        <v>0.24</v>
      </c>
    </row>
    <row r="1266" spans="7:16" x14ac:dyDescent="0.3">
      <c r="G1266" t="s">
        <v>2724</v>
      </c>
      <c r="H1266" s="76" t="s">
        <v>454</v>
      </c>
      <c r="I1266" s="76" t="s">
        <v>455</v>
      </c>
      <c r="J1266" s="76" t="s">
        <v>360</v>
      </c>
      <c r="K1266" s="76" t="s">
        <v>1372</v>
      </c>
      <c r="L1266" s="76" t="s">
        <v>361</v>
      </c>
      <c r="M1266" s="76" t="s">
        <v>2725</v>
      </c>
      <c r="N1266" s="76">
        <v>80</v>
      </c>
      <c r="O1266" s="76">
        <v>68</v>
      </c>
      <c r="P1266" s="78">
        <v>0.15</v>
      </c>
    </row>
    <row r="1267" spans="7:16" x14ac:dyDescent="0.3">
      <c r="G1267" t="s">
        <v>2726</v>
      </c>
      <c r="H1267" s="76" t="s">
        <v>675</v>
      </c>
      <c r="I1267" s="76" t="s">
        <v>676</v>
      </c>
      <c r="J1267" s="76" t="s">
        <v>384</v>
      </c>
      <c r="K1267" s="76" t="s">
        <v>2727</v>
      </c>
      <c r="L1267" s="76" t="s">
        <v>385</v>
      </c>
      <c r="M1267" s="76" t="s">
        <v>2728</v>
      </c>
      <c r="N1267" s="76">
        <v>50</v>
      </c>
      <c r="O1267" s="76">
        <v>46</v>
      </c>
      <c r="P1267" s="78">
        <v>0.08</v>
      </c>
    </row>
    <row r="1268" spans="7:16" x14ac:dyDescent="0.3">
      <c r="G1268" t="s">
        <v>2729</v>
      </c>
      <c r="H1268" s="76" t="s">
        <v>656</v>
      </c>
      <c r="I1268" s="76" t="s">
        <v>657</v>
      </c>
      <c r="J1268" s="76" t="s">
        <v>360</v>
      </c>
      <c r="K1268" s="76" t="s">
        <v>2730</v>
      </c>
      <c r="L1268" s="76" t="s">
        <v>373</v>
      </c>
      <c r="M1268" s="76" t="s">
        <v>2731</v>
      </c>
      <c r="N1268" s="76">
        <v>700</v>
      </c>
      <c r="O1268" s="76">
        <v>574</v>
      </c>
      <c r="P1268" s="78">
        <v>0.18</v>
      </c>
    </row>
    <row r="1269" spans="7:16" x14ac:dyDescent="0.3">
      <c r="G1269" t="s">
        <v>2732</v>
      </c>
      <c r="H1269" s="76" t="s">
        <v>675</v>
      </c>
      <c r="I1269" s="76" t="s">
        <v>676</v>
      </c>
      <c r="J1269" s="76" t="s">
        <v>384</v>
      </c>
      <c r="K1269" s="76" t="s">
        <v>2557</v>
      </c>
      <c r="L1269" s="76" t="s">
        <v>361</v>
      </c>
      <c r="M1269" s="76" t="s">
        <v>1266</v>
      </c>
      <c r="N1269" s="76">
        <v>80</v>
      </c>
      <c r="O1269" s="76">
        <v>74</v>
      </c>
      <c r="P1269" s="78">
        <v>7.4999999999999997E-2</v>
      </c>
    </row>
    <row r="1270" spans="7:16" x14ac:dyDescent="0.3">
      <c r="G1270" t="s">
        <v>2733</v>
      </c>
      <c r="H1270" s="76" t="s">
        <v>399</v>
      </c>
      <c r="I1270" s="76" t="s">
        <v>400</v>
      </c>
      <c r="J1270" s="76" t="s">
        <v>372</v>
      </c>
      <c r="K1270" s="77">
        <v>43435</v>
      </c>
      <c r="L1270" s="76" t="s">
        <v>483</v>
      </c>
      <c r="M1270" s="76" t="s">
        <v>815</v>
      </c>
      <c r="N1270" s="76">
        <v>50</v>
      </c>
      <c r="O1270" s="76">
        <v>44</v>
      </c>
      <c r="P1270" s="78">
        <v>0.12</v>
      </c>
    </row>
    <row r="1271" spans="7:16" x14ac:dyDescent="0.3">
      <c r="G1271" t="s">
        <v>2734</v>
      </c>
      <c r="H1271" s="76" t="s">
        <v>478</v>
      </c>
      <c r="I1271" s="76" t="s">
        <v>479</v>
      </c>
      <c r="J1271" s="76" t="s">
        <v>384</v>
      </c>
      <c r="K1271" s="77">
        <v>42802</v>
      </c>
      <c r="L1271" s="76" t="s">
        <v>391</v>
      </c>
      <c r="M1271" s="76" t="s">
        <v>480</v>
      </c>
      <c r="N1271" s="76">
        <v>30</v>
      </c>
      <c r="O1271" s="76">
        <v>30</v>
      </c>
      <c r="P1271" s="78">
        <v>0</v>
      </c>
    </row>
    <row r="1272" spans="7:16" x14ac:dyDescent="0.3">
      <c r="G1272" t="s">
        <v>2735</v>
      </c>
      <c r="H1272" s="76" t="s">
        <v>449</v>
      </c>
      <c r="I1272" s="76" t="s">
        <v>450</v>
      </c>
      <c r="J1272" s="76" t="s">
        <v>360</v>
      </c>
      <c r="K1272" s="76" t="s">
        <v>1315</v>
      </c>
      <c r="L1272" s="76" t="s">
        <v>424</v>
      </c>
      <c r="M1272" s="76" t="s">
        <v>2194</v>
      </c>
      <c r="N1272" s="76">
        <v>500</v>
      </c>
      <c r="O1272" s="76">
        <v>500</v>
      </c>
      <c r="P1272" s="78">
        <v>0</v>
      </c>
    </row>
    <row r="1273" spans="7:16" x14ac:dyDescent="0.3">
      <c r="G1273" t="s">
        <v>2736</v>
      </c>
      <c r="H1273" s="76" t="s">
        <v>528</v>
      </c>
      <c r="I1273" s="76" t="s">
        <v>465</v>
      </c>
      <c r="J1273" s="76" t="s">
        <v>366</v>
      </c>
      <c r="K1273" s="76" t="s">
        <v>2737</v>
      </c>
      <c r="L1273" s="76" t="s">
        <v>385</v>
      </c>
      <c r="M1273" s="76" t="s">
        <v>2032</v>
      </c>
      <c r="N1273" s="76">
        <v>50</v>
      </c>
      <c r="O1273" s="76">
        <v>47</v>
      </c>
      <c r="P1273" s="78">
        <v>0.06</v>
      </c>
    </row>
    <row r="1274" spans="7:16" x14ac:dyDescent="0.3">
      <c r="G1274" t="s">
        <v>2738</v>
      </c>
      <c r="H1274" s="76" t="s">
        <v>434</v>
      </c>
      <c r="I1274" s="76" t="s">
        <v>435</v>
      </c>
      <c r="J1274" s="76" t="s">
        <v>360</v>
      </c>
      <c r="K1274" s="76" t="s">
        <v>2739</v>
      </c>
      <c r="L1274" s="76" t="s">
        <v>385</v>
      </c>
      <c r="M1274" s="76" t="s">
        <v>691</v>
      </c>
      <c r="N1274" s="76">
        <v>50</v>
      </c>
      <c r="O1274" s="76">
        <v>46</v>
      </c>
      <c r="P1274" s="78">
        <v>0.08</v>
      </c>
    </row>
    <row r="1275" spans="7:16" x14ac:dyDescent="0.3">
      <c r="G1275" t="s">
        <v>2740</v>
      </c>
      <c r="H1275" s="76" t="s">
        <v>494</v>
      </c>
      <c r="I1275" s="76" t="s">
        <v>465</v>
      </c>
      <c r="J1275" s="76" t="s">
        <v>366</v>
      </c>
      <c r="K1275" s="76" t="s">
        <v>1610</v>
      </c>
      <c r="L1275" s="76" t="s">
        <v>385</v>
      </c>
      <c r="M1275" s="76" t="s">
        <v>1233</v>
      </c>
      <c r="N1275" s="76">
        <v>50</v>
      </c>
      <c r="O1275" s="76">
        <v>44</v>
      </c>
      <c r="P1275" s="78">
        <v>0.12</v>
      </c>
    </row>
    <row r="1276" spans="7:16" x14ac:dyDescent="0.3">
      <c r="G1276" t="s">
        <v>2741</v>
      </c>
      <c r="H1276" s="76" t="s">
        <v>370</v>
      </c>
      <c r="I1276" s="76" t="s">
        <v>371</v>
      </c>
      <c r="J1276" s="76" t="s">
        <v>372</v>
      </c>
      <c r="K1276" s="77">
        <v>41679</v>
      </c>
      <c r="L1276" s="76" t="s">
        <v>396</v>
      </c>
      <c r="M1276" s="76" t="s">
        <v>1146</v>
      </c>
      <c r="N1276" s="76">
        <v>500</v>
      </c>
      <c r="O1276" s="76">
        <v>355</v>
      </c>
      <c r="P1276" s="78">
        <v>0.28999999999999998</v>
      </c>
    </row>
    <row r="1277" spans="7:16" x14ac:dyDescent="0.3">
      <c r="G1277" t="s">
        <v>2742</v>
      </c>
      <c r="H1277" s="76" t="s">
        <v>494</v>
      </c>
      <c r="I1277" s="76" t="s">
        <v>465</v>
      </c>
      <c r="J1277" s="76" t="s">
        <v>366</v>
      </c>
      <c r="K1277" s="76" t="s">
        <v>2743</v>
      </c>
      <c r="L1277" s="76" t="s">
        <v>396</v>
      </c>
      <c r="M1277" s="76" t="s">
        <v>600</v>
      </c>
      <c r="N1277" s="76">
        <v>500</v>
      </c>
      <c r="O1277" s="76">
        <v>495</v>
      </c>
      <c r="P1277" s="78">
        <v>0.01</v>
      </c>
    </row>
    <row r="1278" spans="7:16" x14ac:dyDescent="0.3">
      <c r="G1278" t="s">
        <v>2744</v>
      </c>
      <c r="H1278" s="76" t="s">
        <v>619</v>
      </c>
      <c r="I1278" s="76" t="s">
        <v>620</v>
      </c>
      <c r="J1278" s="76" t="s">
        <v>372</v>
      </c>
      <c r="K1278" s="76" t="s">
        <v>1926</v>
      </c>
      <c r="L1278" s="76" t="s">
        <v>361</v>
      </c>
      <c r="M1278" s="76" t="s">
        <v>1433</v>
      </c>
      <c r="N1278" s="76">
        <v>80</v>
      </c>
      <c r="O1278" s="76">
        <v>61</v>
      </c>
      <c r="P1278" s="78">
        <v>0.23749999999999999</v>
      </c>
    </row>
    <row r="1279" spans="7:16" x14ac:dyDescent="0.3">
      <c r="G1279" t="s">
        <v>2745</v>
      </c>
      <c r="H1279" s="76" t="s">
        <v>449</v>
      </c>
      <c r="I1279" s="76" t="s">
        <v>450</v>
      </c>
      <c r="J1279" s="76" t="s">
        <v>360</v>
      </c>
      <c r="K1279" s="76" t="s">
        <v>2746</v>
      </c>
      <c r="L1279" s="76" t="s">
        <v>424</v>
      </c>
      <c r="M1279" s="76" t="s">
        <v>606</v>
      </c>
      <c r="N1279" s="76">
        <v>500</v>
      </c>
      <c r="O1279" s="76">
        <v>495</v>
      </c>
      <c r="P1279" s="78">
        <v>0.01</v>
      </c>
    </row>
    <row r="1280" spans="7:16" x14ac:dyDescent="0.3">
      <c r="G1280" t="s">
        <v>2747</v>
      </c>
      <c r="H1280" s="76" t="s">
        <v>409</v>
      </c>
      <c r="I1280" s="76" t="s">
        <v>410</v>
      </c>
      <c r="J1280" s="76" t="s">
        <v>360</v>
      </c>
      <c r="K1280" s="76" t="s">
        <v>927</v>
      </c>
      <c r="L1280" s="76" t="s">
        <v>483</v>
      </c>
      <c r="M1280" s="76" t="s">
        <v>2748</v>
      </c>
      <c r="N1280" s="76">
        <v>50</v>
      </c>
      <c r="O1280" s="76">
        <v>48</v>
      </c>
      <c r="P1280" s="78">
        <v>0.04</v>
      </c>
    </row>
    <row r="1281" spans="7:16" x14ac:dyDescent="0.3">
      <c r="G1281" t="s">
        <v>2749</v>
      </c>
      <c r="H1281" s="76" t="s">
        <v>551</v>
      </c>
      <c r="I1281" s="76" t="s">
        <v>552</v>
      </c>
      <c r="J1281" s="76" t="s">
        <v>360</v>
      </c>
      <c r="K1281" s="76" t="s">
        <v>2750</v>
      </c>
      <c r="L1281" s="76" t="s">
        <v>405</v>
      </c>
      <c r="M1281" s="76" t="s">
        <v>1125</v>
      </c>
      <c r="N1281" s="76">
        <v>800</v>
      </c>
      <c r="O1281" s="76">
        <v>520</v>
      </c>
      <c r="P1281" s="78">
        <v>0.35</v>
      </c>
    </row>
    <row r="1282" spans="7:16" x14ac:dyDescent="0.3">
      <c r="G1282" t="s">
        <v>2751</v>
      </c>
      <c r="H1282" s="76" t="s">
        <v>675</v>
      </c>
      <c r="I1282" s="76" t="s">
        <v>676</v>
      </c>
      <c r="J1282" s="76" t="s">
        <v>384</v>
      </c>
      <c r="K1282" s="76" t="s">
        <v>635</v>
      </c>
      <c r="L1282" s="76" t="s">
        <v>424</v>
      </c>
      <c r="M1282" s="76" t="s">
        <v>1071</v>
      </c>
      <c r="N1282" s="76">
        <v>500</v>
      </c>
      <c r="O1282" s="76">
        <v>490</v>
      </c>
      <c r="P1282" s="78">
        <v>0.02</v>
      </c>
    </row>
    <row r="1283" spans="7:16" x14ac:dyDescent="0.3">
      <c r="G1283" t="s">
        <v>2752</v>
      </c>
      <c r="H1283" s="76" t="s">
        <v>399</v>
      </c>
      <c r="I1283" s="76" t="s">
        <v>400</v>
      </c>
      <c r="J1283" s="76" t="s">
        <v>372</v>
      </c>
      <c r="K1283" s="76" t="s">
        <v>2753</v>
      </c>
      <c r="L1283" s="76" t="s">
        <v>373</v>
      </c>
      <c r="M1283" s="76" t="s">
        <v>401</v>
      </c>
      <c r="N1283" s="76">
        <v>700</v>
      </c>
      <c r="O1283" s="76">
        <v>637</v>
      </c>
      <c r="P1283" s="78">
        <v>0.09</v>
      </c>
    </row>
    <row r="1284" spans="7:16" x14ac:dyDescent="0.3">
      <c r="G1284" t="s">
        <v>2754</v>
      </c>
      <c r="H1284" s="76" t="s">
        <v>656</v>
      </c>
      <c r="I1284" s="76" t="s">
        <v>657</v>
      </c>
      <c r="J1284" s="76" t="s">
        <v>360</v>
      </c>
      <c r="K1284" s="76" t="s">
        <v>2755</v>
      </c>
      <c r="L1284" s="76" t="s">
        <v>475</v>
      </c>
      <c r="M1284" s="76" t="s">
        <v>2104</v>
      </c>
      <c r="N1284" s="76">
        <v>250</v>
      </c>
      <c r="O1284" s="76">
        <v>203</v>
      </c>
      <c r="P1284" s="78">
        <v>0.188</v>
      </c>
    </row>
    <row r="1285" spans="7:16" x14ac:dyDescent="0.3">
      <c r="G1285" t="s">
        <v>2756</v>
      </c>
      <c r="H1285" s="76" t="s">
        <v>434</v>
      </c>
      <c r="I1285" s="76" t="s">
        <v>435</v>
      </c>
      <c r="J1285" s="76" t="s">
        <v>360</v>
      </c>
      <c r="K1285" s="76" t="s">
        <v>2757</v>
      </c>
      <c r="L1285" s="76" t="s">
        <v>396</v>
      </c>
      <c r="M1285" s="76" t="s">
        <v>436</v>
      </c>
      <c r="N1285" s="76">
        <v>500</v>
      </c>
      <c r="O1285" s="76">
        <v>500</v>
      </c>
      <c r="P1285" s="78">
        <v>0</v>
      </c>
    </row>
    <row r="1286" spans="7:16" x14ac:dyDescent="0.3">
      <c r="G1286" t="s">
        <v>2758</v>
      </c>
      <c r="H1286" s="76" t="s">
        <v>519</v>
      </c>
      <c r="I1286" s="76" t="s">
        <v>520</v>
      </c>
      <c r="J1286" s="76" t="s">
        <v>360</v>
      </c>
      <c r="K1286" s="76" t="s">
        <v>1837</v>
      </c>
      <c r="L1286" s="76" t="s">
        <v>391</v>
      </c>
      <c r="M1286" s="76" t="s">
        <v>859</v>
      </c>
      <c r="N1286" s="76">
        <v>30</v>
      </c>
      <c r="O1286" s="76">
        <v>20</v>
      </c>
      <c r="P1286" s="78">
        <v>0.33329999999999999</v>
      </c>
    </row>
    <row r="1287" spans="7:16" x14ac:dyDescent="0.3">
      <c r="G1287" t="s">
        <v>2759</v>
      </c>
      <c r="H1287" s="76" t="s">
        <v>464</v>
      </c>
      <c r="I1287" s="76" t="s">
        <v>465</v>
      </c>
      <c r="J1287" s="76" t="s">
        <v>366</v>
      </c>
      <c r="K1287" s="77">
        <v>42404</v>
      </c>
      <c r="L1287" s="76" t="s">
        <v>424</v>
      </c>
      <c r="M1287" s="76" t="s">
        <v>1575</v>
      </c>
      <c r="N1287" s="76">
        <v>500</v>
      </c>
      <c r="O1287" s="76">
        <v>500</v>
      </c>
      <c r="P1287" s="78">
        <v>0</v>
      </c>
    </row>
    <row r="1288" spans="7:16" x14ac:dyDescent="0.3">
      <c r="G1288" t="s">
        <v>2760</v>
      </c>
      <c r="H1288" s="76" t="s">
        <v>485</v>
      </c>
      <c r="I1288" s="76" t="s">
        <v>389</v>
      </c>
      <c r="J1288" s="76" t="s">
        <v>384</v>
      </c>
      <c r="K1288" s="76" t="s">
        <v>2442</v>
      </c>
      <c r="L1288" s="76" t="s">
        <v>411</v>
      </c>
      <c r="M1288" s="76" t="s">
        <v>1534</v>
      </c>
      <c r="N1288" s="76">
        <v>1000</v>
      </c>
      <c r="O1288" s="76">
        <v>910</v>
      </c>
      <c r="P1288" s="78">
        <v>0.09</v>
      </c>
    </row>
    <row r="1289" spans="7:16" x14ac:dyDescent="0.3">
      <c r="G1289" t="s">
        <v>2761</v>
      </c>
      <c r="H1289" s="76" t="s">
        <v>547</v>
      </c>
      <c r="I1289" s="76" t="s">
        <v>548</v>
      </c>
      <c r="J1289" s="76" t="s">
        <v>360</v>
      </c>
      <c r="K1289" s="76" t="s">
        <v>2762</v>
      </c>
      <c r="L1289" s="76" t="s">
        <v>411</v>
      </c>
      <c r="M1289" s="76" t="s">
        <v>861</v>
      </c>
      <c r="N1289" s="76">
        <v>1000</v>
      </c>
      <c r="O1289" s="76">
        <v>960</v>
      </c>
      <c r="P1289" s="78">
        <v>0.04</v>
      </c>
    </row>
    <row r="1290" spans="7:16" x14ac:dyDescent="0.3">
      <c r="G1290" t="s">
        <v>2763</v>
      </c>
      <c r="H1290" s="76" t="s">
        <v>675</v>
      </c>
      <c r="I1290" s="76" t="s">
        <v>676</v>
      </c>
      <c r="J1290" s="76" t="s">
        <v>384</v>
      </c>
      <c r="K1290" s="77">
        <v>41677</v>
      </c>
      <c r="L1290" s="76" t="s">
        <v>411</v>
      </c>
      <c r="M1290" s="76" t="s">
        <v>1268</v>
      </c>
      <c r="N1290" s="76">
        <v>1000</v>
      </c>
      <c r="O1290" s="76">
        <v>540</v>
      </c>
      <c r="P1290" s="78">
        <v>0.46</v>
      </c>
    </row>
    <row r="1291" spans="7:16" x14ac:dyDescent="0.3">
      <c r="G1291" t="s">
        <v>2764</v>
      </c>
      <c r="H1291" s="76" t="s">
        <v>560</v>
      </c>
      <c r="I1291" s="76" t="s">
        <v>465</v>
      </c>
      <c r="J1291" s="76" t="s">
        <v>366</v>
      </c>
      <c r="K1291" s="77">
        <v>43285</v>
      </c>
      <c r="L1291" s="76" t="s">
        <v>385</v>
      </c>
      <c r="M1291" s="76" t="s">
        <v>983</v>
      </c>
      <c r="N1291" s="76">
        <v>50</v>
      </c>
      <c r="O1291" s="76">
        <v>49</v>
      </c>
      <c r="P1291" s="78">
        <v>0.02</v>
      </c>
    </row>
    <row r="1292" spans="7:16" x14ac:dyDescent="0.3">
      <c r="G1292" t="s">
        <v>2765</v>
      </c>
      <c r="H1292" s="76" t="s">
        <v>449</v>
      </c>
      <c r="I1292" s="76" t="s">
        <v>450</v>
      </c>
      <c r="J1292" s="76" t="s">
        <v>360</v>
      </c>
      <c r="K1292" s="76" t="s">
        <v>529</v>
      </c>
      <c r="L1292" s="76" t="s">
        <v>385</v>
      </c>
      <c r="M1292" s="76" t="s">
        <v>928</v>
      </c>
      <c r="N1292" s="76">
        <v>50</v>
      </c>
      <c r="O1292" s="76">
        <v>47</v>
      </c>
      <c r="P1292" s="78">
        <v>0.06</v>
      </c>
    </row>
    <row r="1293" spans="7:16" x14ac:dyDescent="0.3">
      <c r="G1293" t="s">
        <v>2766</v>
      </c>
      <c r="H1293" s="76" t="s">
        <v>409</v>
      </c>
      <c r="I1293" s="76" t="s">
        <v>410</v>
      </c>
      <c r="J1293" s="76" t="s">
        <v>360</v>
      </c>
      <c r="K1293" s="76" t="s">
        <v>2767</v>
      </c>
      <c r="L1293" s="76" t="s">
        <v>373</v>
      </c>
      <c r="M1293" s="76" t="s">
        <v>1356</v>
      </c>
      <c r="N1293" s="76">
        <v>700</v>
      </c>
      <c r="O1293" s="76">
        <v>511</v>
      </c>
      <c r="P1293" s="78">
        <v>0.27</v>
      </c>
    </row>
    <row r="1294" spans="7:16" x14ac:dyDescent="0.3">
      <c r="G1294" t="s">
        <v>2768</v>
      </c>
      <c r="H1294" s="76" t="s">
        <v>656</v>
      </c>
      <c r="I1294" s="76" t="s">
        <v>657</v>
      </c>
      <c r="J1294" s="76" t="s">
        <v>360</v>
      </c>
      <c r="K1294" s="76" t="s">
        <v>2769</v>
      </c>
      <c r="L1294" s="76" t="s">
        <v>405</v>
      </c>
      <c r="M1294" s="76" t="s">
        <v>2144</v>
      </c>
      <c r="N1294" s="76">
        <v>800</v>
      </c>
      <c r="O1294" s="76">
        <v>688</v>
      </c>
      <c r="P1294" s="78">
        <v>0.14000000000000001</v>
      </c>
    </row>
    <row r="1295" spans="7:16" x14ac:dyDescent="0.3">
      <c r="G1295" t="s">
        <v>2770</v>
      </c>
      <c r="H1295" s="76" t="s">
        <v>473</v>
      </c>
      <c r="I1295" s="76" t="s">
        <v>404</v>
      </c>
      <c r="J1295" s="76" t="s">
        <v>360</v>
      </c>
      <c r="K1295" s="77">
        <v>43198</v>
      </c>
      <c r="L1295" s="76" t="s">
        <v>405</v>
      </c>
      <c r="M1295" s="76" t="s">
        <v>2308</v>
      </c>
      <c r="N1295" s="76">
        <v>800</v>
      </c>
      <c r="O1295" s="76">
        <v>648</v>
      </c>
      <c r="P1295" s="78">
        <v>0.19</v>
      </c>
    </row>
    <row r="1296" spans="7:16" x14ac:dyDescent="0.3">
      <c r="G1296" t="s">
        <v>2771</v>
      </c>
      <c r="H1296" s="76" t="s">
        <v>566</v>
      </c>
      <c r="I1296" s="76" t="s">
        <v>567</v>
      </c>
      <c r="J1296" s="76" t="s">
        <v>360</v>
      </c>
      <c r="K1296" s="76" t="s">
        <v>1877</v>
      </c>
      <c r="L1296" s="76" t="s">
        <v>391</v>
      </c>
      <c r="M1296" s="76" t="s">
        <v>1302</v>
      </c>
      <c r="N1296" s="76">
        <v>30</v>
      </c>
      <c r="O1296" s="76">
        <v>30</v>
      </c>
      <c r="P1296" s="78">
        <v>0</v>
      </c>
    </row>
    <row r="1297" spans="7:16" x14ac:dyDescent="0.3">
      <c r="G1297" t="s">
        <v>2772</v>
      </c>
      <c r="H1297" s="76" t="s">
        <v>619</v>
      </c>
      <c r="I1297" s="76" t="s">
        <v>620</v>
      </c>
      <c r="J1297" s="76" t="s">
        <v>372</v>
      </c>
      <c r="K1297" s="76" t="s">
        <v>2773</v>
      </c>
      <c r="L1297" s="76" t="s">
        <v>475</v>
      </c>
      <c r="M1297" s="76" t="s">
        <v>685</v>
      </c>
      <c r="N1297" s="76">
        <v>250</v>
      </c>
      <c r="O1297" s="76">
        <v>230</v>
      </c>
      <c r="P1297" s="78">
        <v>0.08</v>
      </c>
    </row>
    <row r="1298" spans="7:16" x14ac:dyDescent="0.3">
      <c r="G1298" t="s">
        <v>2774</v>
      </c>
      <c r="H1298" s="76" t="s">
        <v>364</v>
      </c>
      <c r="I1298" s="76" t="s">
        <v>365</v>
      </c>
      <c r="J1298" s="76" t="s">
        <v>366</v>
      </c>
      <c r="K1298" s="76" t="s">
        <v>2534</v>
      </c>
      <c r="L1298" s="76" t="s">
        <v>483</v>
      </c>
      <c r="M1298" s="76" t="s">
        <v>1350</v>
      </c>
      <c r="N1298" s="76">
        <v>50</v>
      </c>
      <c r="O1298" s="76">
        <v>47</v>
      </c>
      <c r="P1298" s="78">
        <v>0.06</v>
      </c>
    </row>
    <row r="1299" spans="7:16" x14ac:dyDescent="0.3">
      <c r="G1299" t="s">
        <v>2775</v>
      </c>
      <c r="H1299" s="76" t="s">
        <v>656</v>
      </c>
      <c r="I1299" s="76" t="s">
        <v>657</v>
      </c>
      <c r="J1299" s="76" t="s">
        <v>360</v>
      </c>
      <c r="K1299" s="76" t="s">
        <v>2652</v>
      </c>
      <c r="L1299" s="76" t="s">
        <v>391</v>
      </c>
      <c r="M1299" s="76" t="s">
        <v>1010</v>
      </c>
      <c r="N1299" s="76">
        <v>30</v>
      </c>
      <c r="O1299" s="76">
        <v>25</v>
      </c>
      <c r="P1299" s="78">
        <v>0.16669999999999999</v>
      </c>
    </row>
    <row r="1300" spans="7:16" x14ac:dyDescent="0.3">
      <c r="G1300" t="s">
        <v>2776</v>
      </c>
      <c r="H1300" s="76" t="s">
        <v>566</v>
      </c>
      <c r="I1300" s="76" t="s">
        <v>567</v>
      </c>
      <c r="J1300" s="76" t="s">
        <v>360</v>
      </c>
      <c r="K1300" s="76" t="s">
        <v>1111</v>
      </c>
      <c r="L1300" s="76" t="s">
        <v>461</v>
      </c>
      <c r="M1300" s="76" t="s">
        <v>1302</v>
      </c>
      <c r="N1300" s="76">
        <v>70</v>
      </c>
      <c r="O1300" s="76">
        <v>67</v>
      </c>
      <c r="P1300" s="78">
        <v>4.2900000000000001E-2</v>
      </c>
    </row>
    <row r="1301" spans="7:16" x14ac:dyDescent="0.3">
      <c r="G1301" t="s">
        <v>2777</v>
      </c>
      <c r="H1301" s="76" t="s">
        <v>547</v>
      </c>
      <c r="I1301" s="76" t="s">
        <v>548</v>
      </c>
      <c r="J1301" s="76" t="s">
        <v>360</v>
      </c>
      <c r="K1301" s="76" t="s">
        <v>2778</v>
      </c>
      <c r="L1301" s="76" t="s">
        <v>411</v>
      </c>
      <c r="M1301" s="76" t="s">
        <v>2779</v>
      </c>
      <c r="N1301" s="76">
        <v>1000</v>
      </c>
      <c r="O1301" s="76">
        <v>940</v>
      </c>
      <c r="P1301" s="78">
        <v>0.06</v>
      </c>
    </row>
    <row r="1302" spans="7:16" x14ac:dyDescent="0.3">
      <c r="G1302" t="s">
        <v>2780</v>
      </c>
      <c r="H1302" s="76" t="s">
        <v>524</v>
      </c>
      <c r="I1302" s="76" t="s">
        <v>465</v>
      </c>
      <c r="J1302" s="76" t="s">
        <v>366</v>
      </c>
      <c r="K1302" s="76" t="s">
        <v>1793</v>
      </c>
      <c r="L1302" s="76" t="s">
        <v>396</v>
      </c>
      <c r="M1302" s="76" t="s">
        <v>1640</v>
      </c>
      <c r="N1302" s="76">
        <v>500</v>
      </c>
      <c r="O1302" s="76">
        <v>480</v>
      </c>
      <c r="P1302" s="78">
        <v>0.04</v>
      </c>
    </row>
    <row r="1303" spans="7:16" x14ac:dyDescent="0.3">
      <c r="G1303" t="s">
        <v>2781</v>
      </c>
      <c r="H1303" s="76" t="s">
        <v>449</v>
      </c>
      <c r="I1303" s="76" t="s">
        <v>450</v>
      </c>
      <c r="J1303" s="76" t="s">
        <v>360</v>
      </c>
      <c r="K1303" s="76" t="s">
        <v>2782</v>
      </c>
      <c r="L1303" s="76" t="s">
        <v>461</v>
      </c>
      <c r="M1303" s="76" t="s">
        <v>928</v>
      </c>
      <c r="N1303" s="76">
        <v>70</v>
      </c>
      <c r="O1303" s="76">
        <v>68</v>
      </c>
      <c r="P1303" s="78">
        <v>2.86E-2</v>
      </c>
    </row>
    <row r="1304" spans="7:16" x14ac:dyDescent="0.3">
      <c r="G1304" t="s">
        <v>2783</v>
      </c>
      <c r="H1304" s="76" t="s">
        <v>454</v>
      </c>
      <c r="I1304" s="76" t="s">
        <v>455</v>
      </c>
      <c r="J1304" s="76" t="s">
        <v>360</v>
      </c>
      <c r="K1304" s="76" t="s">
        <v>2784</v>
      </c>
      <c r="L1304" s="76" t="s">
        <v>379</v>
      </c>
      <c r="M1304" s="76" t="s">
        <v>2725</v>
      </c>
      <c r="N1304" s="76">
        <v>150</v>
      </c>
      <c r="O1304" s="76">
        <v>147</v>
      </c>
      <c r="P1304" s="78">
        <v>0.02</v>
      </c>
    </row>
    <row r="1305" spans="7:16" x14ac:dyDescent="0.3">
      <c r="G1305" t="s">
        <v>2785</v>
      </c>
      <c r="H1305" s="76" t="s">
        <v>547</v>
      </c>
      <c r="I1305" s="76" t="s">
        <v>548</v>
      </c>
      <c r="J1305" s="76" t="s">
        <v>360</v>
      </c>
      <c r="K1305" s="76" t="s">
        <v>2786</v>
      </c>
      <c r="L1305" s="76" t="s">
        <v>361</v>
      </c>
      <c r="M1305" s="76" t="s">
        <v>2209</v>
      </c>
      <c r="N1305" s="76">
        <v>80</v>
      </c>
      <c r="O1305" s="76">
        <v>74</v>
      </c>
      <c r="P1305" s="78">
        <v>7.4999999999999997E-2</v>
      </c>
    </row>
    <row r="1306" spans="7:16" x14ac:dyDescent="0.3">
      <c r="G1306" t="s">
        <v>2787</v>
      </c>
      <c r="H1306" s="76" t="s">
        <v>528</v>
      </c>
      <c r="I1306" s="76" t="s">
        <v>465</v>
      </c>
      <c r="J1306" s="76" t="s">
        <v>366</v>
      </c>
      <c r="K1306" s="76" t="s">
        <v>2788</v>
      </c>
      <c r="L1306" s="76" t="s">
        <v>424</v>
      </c>
      <c r="M1306" s="76" t="s">
        <v>2789</v>
      </c>
      <c r="N1306" s="76">
        <v>500</v>
      </c>
      <c r="O1306" s="76">
        <v>490</v>
      </c>
      <c r="P1306" s="78">
        <v>0.02</v>
      </c>
    </row>
    <row r="1307" spans="7:16" x14ac:dyDescent="0.3">
      <c r="G1307" t="s">
        <v>2790</v>
      </c>
      <c r="H1307" s="76" t="s">
        <v>591</v>
      </c>
      <c r="I1307" s="76" t="s">
        <v>592</v>
      </c>
      <c r="J1307" s="76" t="s">
        <v>372</v>
      </c>
      <c r="K1307" s="76" t="s">
        <v>847</v>
      </c>
      <c r="L1307" s="76" t="s">
        <v>424</v>
      </c>
      <c r="M1307" s="76" t="s">
        <v>2791</v>
      </c>
      <c r="N1307" s="76">
        <v>500</v>
      </c>
      <c r="O1307" s="76">
        <v>490</v>
      </c>
      <c r="P1307" s="78">
        <v>0.02</v>
      </c>
    </row>
    <row r="1308" spans="7:16" x14ac:dyDescent="0.3">
      <c r="G1308" t="s">
        <v>2792</v>
      </c>
      <c r="H1308" s="76" t="s">
        <v>478</v>
      </c>
      <c r="I1308" s="76" t="s">
        <v>479</v>
      </c>
      <c r="J1308" s="76" t="s">
        <v>384</v>
      </c>
      <c r="K1308" s="77">
        <v>41674</v>
      </c>
      <c r="L1308" s="76" t="s">
        <v>461</v>
      </c>
      <c r="M1308" s="76" t="s">
        <v>1448</v>
      </c>
      <c r="N1308" s="76">
        <v>70</v>
      </c>
      <c r="O1308" s="76">
        <v>70</v>
      </c>
      <c r="P1308" s="78">
        <v>0</v>
      </c>
    </row>
    <row r="1309" spans="7:16" x14ac:dyDescent="0.3">
      <c r="G1309" t="s">
        <v>2793</v>
      </c>
      <c r="H1309" s="76" t="s">
        <v>438</v>
      </c>
      <c r="I1309" s="76" t="s">
        <v>439</v>
      </c>
      <c r="J1309" s="76" t="s">
        <v>360</v>
      </c>
      <c r="K1309" s="76" t="s">
        <v>962</v>
      </c>
      <c r="L1309" s="76" t="s">
        <v>424</v>
      </c>
      <c r="M1309" s="76" t="s">
        <v>1079</v>
      </c>
      <c r="N1309" s="76">
        <v>500</v>
      </c>
      <c r="O1309" s="76">
        <v>500</v>
      </c>
      <c r="P1309" s="78">
        <v>0</v>
      </c>
    </row>
    <row r="1310" spans="7:16" x14ac:dyDescent="0.3">
      <c r="G1310" t="s">
        <v>2794</v>
      </c>
      <c r="H1310" s="76" t="s">
        <v>429</v>
      </c>
      <c r="I1310" s="76" t="s">
        <v>430</v>
      </c>
      <c r="J1310" s="76" t="s">
        <v>384</v>
      </c>
      <c r="K1310" s="76" t="s">
        <v>486</v>
      </c>
      <c r="L1310" s="76" t="s">
        <v>373</v>
      </c>
      <c r="M1310" s="76" t="s">
        <v>536</v>
      </c>
      <c r="N1310" s="76">
        <v>700</v>
      </c>
      <c r="O1310" s="76">
        <v>630</v>
      </c>
      <c r="P1310" s="78">
        <v>0.1</v>
      </c>
    </row>
    <row r="1311" spans="7:16" x14ac:dyDescent="0.3">
      <c r="G1311" t="s">
        <v>2795</v>
      </c>
      <c r="H1311" s="76" t="s">
        <v>449</v>
      </c>
      <c r="I1311" s="76" t="s">
        <v>450</v>
      </c>
      <c r="J1311" s="76" t="s">
        <v>360</v>
      </c>
      <c r="K1311" s="76" t="s">
        <v>2796</v>
      </c>
      <c r="L1311" s="76" t="s">
        <v>385</v>
      </c>
      <c r="M1311" s="76" t="s">
        <v>2019</v>
      </c>
      <c r="N1311" s="76">
        <v>50</v>
      </c>
      <c r="O1311" s="76">
        <v>48</v>
      </c>
      <c r="P1311" s="78">
        <v>0.04</v>
      </c>
    </row>
    <row r="1312" spans="7:16" x14ac:dyDescent="0.3">
      <c r="G1312" t="s">
        <v>2797</v>
      </c>
      <c r="H1312" s="76" t="s">
        <v>638</v>
      </c>
      <c r="I1312" s="76" t="s">
        <v>639</v>
      </c>
      <c r="J1312" s="76" t="s">
        <v>360</v>
      </c>
      <c r="K1312" s="76" t="s">
        <v>2798</v>
      </c>
      <c r="L1312" s="76" t="s">
        <v>405</v>
      </c>
      <c r="M1312" s="76" t="s">
        <v>1148</v>
      </c>
      <c r="N1312" s="76">
        <v>800</v>
      </c>
      <c r="O1312" s="76">
        <v>736</v>
      </c>
      <c r="P1312" s="78">
        <v>0.08</v>
      </c>
    </row>
    <row r="1313" spans="7:16" x14ac:dyDescent="0.3">
      <c r="G1313" t="s">
        <v>2799</v>
      </c>
      <c r="H1313" s="76" t="s">
        <v>489</v>
      </c>
      <c r="I1313" s="76" t="s">
        <v>490</v>
      </c>
      <c r="J1313" s="76" t="s">
        <v>360</v>
      </c>
      <c r="K1313" s="76" t="s">
        <v>863</v>
      </c>
      <c r="L1313" s="76" t="s">
        <v>405</v>
      </c>
      <c r="M1313" s="76" t="s">
        <v>1539</v>
      </c>
      <c r="N1313" s="76">
        <v>800</v>
      </c>
      <c r="O1313" s="76">
        <v>784</v>
      </c>
      <c r="P1313" s="78">
        <v>0.02</v>
      </c>
    </row>
    <row r="1314" spans="7:16" x14ac:dyDescent="0.3">
      <c r="G1314" t="s">
        <v>2800</v>
      </c>
      <c r="H1314" s="76" t="s">
        <v>519</v>
      </c>
      <c r="I1314" s="76" t="s">
        <v>520</v>
      </c>
      <c r="J1314" s="76" t="s">
        <v>360</v>
      </c>
      <c r="K1314" s="76" t="s">
        <v>2801</v>
      </c>
      <c r="L1314" s="76" t="s">
        <v>475</v>
      </c>
      <c r="M1314" s="76" t="s">
        <v>1343</v>
      </c>
      <c r="N1314" s="76">
        <v>250</v>
      </c>
      <c r="O1314" s="76">
        <v>230</v>
      </c>
      <c r="P1314" s="78">
        <v>0.08</v>
      </c>
    </row>
    <row r="1315" spans="7:16" x14ac:dyDescent="0.3">
      <c r="G1315" t="s">
        <v>2802</v>
      </c>
      <c r="H1315" s="76" t="s">
        <v>388</v>
      </c>
      <c r="I1315" s="76" t="s">
        <v>389</v>
      </c>
      <c r="J1315" s="76" t="s">
        <v>384</v>
      </c>
      <c r="K1315" s="77">
        <v>42380</v>
      </c>
      <c r="L1315" s="76" t="s">
        <v>461</v>
      </c>
      <c r="M1315" s="76" t="s">
        <v>2803</v>
      </c>
      <c r="N1315" s="76">
        <v>70</v>
      </c>
      <c r="O1315" s="76">
        <v>62</v>
      </c>
      <c r="P1315" s="78">
        <v>0.1143</v>
      </c>
    </row>
    <row r="1316" spans="7:16" x14ac:dyDescent="0.3">
      <c r="G1316" t="s">
        <v>2804</v>
      </c>
      <c r="H1316" s="76" t="s">
        <v>370</v>
      </c>
      <c r="I1316" s="76" t="s">
        <v>371</v>
      </c>
      <c r="J1316" s="76" t="s">
        <v>372</v>
      </c>
      <c r="K1316" s="76" t="s">
        <v>2805</v>
      </c>
      <c r="L1316" s="76" t="s">
        <v>475</v>
      </c>
      <c r="M1316" s="76" t="s">
        <v>731</v>
      </c>
      <c r="N1316" s="76">
        <v>250</v>
      </c>
      <c r="O1316" s="76">
        <v>193</v>
      </c>
      <c r="P1316" s="78">
        <v>0.22800000000000001</v>
      </c>
    </row>
    <row r="1317" spans="7:16" x14ac:dyDescent="0.3">
      <c r="G1317" t="s">
        <v>2806</v>
      </c>
      <c r="H1317" s="76" t="s">
        <v>429</v>
      </c>
      <c r="I1317" s="76" t="s">
        <v>430</v>
      </c>
      <c r="J1317" s="76" t="s">
        <v>384</v>
      </c>
      <c r="K1317" s="76" t="s">
        <v>2767</v>
      </c>
      <c r="L1317" s="76" t="s">
        <v>424</v>
      </c>
      <c r="M1317" s="76" t="s">
        <v>1330</v>
      </c>
      <c r="N1317" s="76">
        <v>500</v>
      </c>
      <c r="O1317" s="76">
        <v>495</v>
      </c>
      <c r="P1317" s="78">
        <v>0.01</v>
      </c>
    </row>
    <row r="1318" spans="7:16" x14ac:dyDescent="0.3">
      <c r="G1318" t="s">
        <v>2807</v>
      </c>
      <c r="H1318" s="76" t="s">
        <v>519</v>
      </c>
      <c r="I1318" s="76" t="s">
        <v>520</v>
      </c>
      <c r="J1318" s="76" t="s">
        <v>360</v>
      </c>
      <c r="K1318" s="77">
        <v>41648</v>
      </c>
      <c r="L1318" s="76" t="s">
        <v>405</v>
      </c>
      <c r="M1318" s="76" t="s">
        <v>522</v>
      </c>
      <c r="N1318" s="76">
        <v>800</v>
      </c>
      <c r="O1318" s="76">
        <v>784</v>
      </c>
      <c r="P1318" s="78">
        <v>0.02</v>
      </c>
    </row>
    <row r="1319" spans="7:16" x14ac:dyDescent="0.3">
      <c r="G1319" t="s">
        <v>2808</v>
      </c>
      <c r="H1319" s="76" t="s">
        <v>591</v>
      </c>
      <c r="I1319" s="76" t="s">
        <v>592</v>
      </c>
      <c r="J1319" s="76" t="s">
        <v>372</v>
      </c>
      <c r="K1319" s="76" t="s">
        <v>1795</v>
      </c>
      <c r="L1319" s="76" t="s">
        <v>361</v>
      </c>
      <c r="M1319" s="76" t="s">
        <v>1225</v>
      </c>
      <c r="N1319" s="76">
        <v>80</v>
      </c>
      <c r="O1319" s="76">
        <v>60</v>
      </c>
      <c r="P1319" s="78">
        <v>0.25</v>
      </c>
    </row>
    <row r="1320" spans="7:16" x14ac:dyDescent="0.3">
      <c r="G1320" t="s">
        <v>2809</v>
      </c>
      <c r="H1320" s="76" t="s">
        <v>489</v>
      </c>
      <c r="I1320" s="76" t="s">
        <v>490</v>
      </c>
      <c r="J1320" s="76" t="s">
        <v>360</v>
      </c>
      <c r="K1320" s="76" t="s">
        <v>2810</v>
      </c>
      <c r="L1320" s="76" t="s">
        <v>475</v>
      </c>
      <c r="M1320" s="76" t="s">
        <v>1998</v>
      </c>
      <c r="N1320" s="76">
        <v>250</v>
      </c>
      <c r="O1320" s="76">
        <v>235</v>
      </c>
      <c r="P1320" s="78">
        <v>0.06</v>
      </c>
    </row>
    <row r="1321" spans="7:16" x14ac:dyDescent="0.3">
      <c r="G1321" t="s">
        <v>2811</v>
      </c>
      <c r="H1321" s="76" t="s">
        <v>434</v>
      </c>
      <c r="I1321" s="76" t="s">
        <v>435</v>
      </c>
      <c r="J1321" s="76" t="s">
        <v>360</v>
      </c>
      <c r="K1321" s="76" t="s">
        <v>939</v>
      </c>
      <c r="L1321" s="76" t="s">
        <v>475</v>
      </c>
      <c r="M1321" s="76" t="s">
        <v>1584</v>
      </c>
      <c r="N1321" s="76">
        <v>250</v>
      </c>
      <c r="O1321" s="76">
        <v>228</v>
      </c>
      <c r="P1321" s="78">
        <v>8.7999999999999995E-2</v>
      </c>
    </row>
    <row r="1322" spans="7:16" x14ac:dyDescent="0.3">
      <c r="G1322" t="s">
        <v>2812</v>
      </c>
      <c r="H1322" s="76" t="s">
        <v>514</v>
      </c>
      <c r="I1322" s="76" t="s">
        <v>515</v>
      </c>
      <c r="J1322" s="76" t="s">
        <v>360</v>
      </c>
      <c r="K1322" s="76" t="s">
        <v>2813</v>
      </c>
      <c r="L1322" s="76" t="s">
        <v>361</v>
      </c>
      <c r="M1322" s="76" t="s">
        <v>2073</v>
      </c>
      <c r="N1322" s="76">
        <v>80</v>
      </c>
      <c r="O1322" s="76">
        <v>68</v>
      </c>
      <c r="P1322" s="78">
        <v>0.15</v>
      </c>
    </row>
    <row r="1323" spans="7:16" x14ac:dyDescent="0.3">
      <c r="G1323" t="s">
        <v>2814</v>
      </c>
      <c r="H1323" s="76" t="s">
        <v>489</v>
      </c>
      <c r="I1323" s="76" t="s">
        <v>490</v>
      </c>
      <c r="J1323" s="76" t="s">
        <v>360</v>
      </c>
      <c r="K1323" s="76" t="s">
        <v>1996</v>
      </c>
      <c r="L1323" s="76" t="s">
        <v>461</v>
      </c>
      <c r="M1323" s="76" t="s">
        <v>1539</v>
      </c>
      <c r="N1323" s="76">
        <v>70</v>
      </c>
      <c r="O1323" s="76">
        <v>64</v>
      </c>
      <c r="P1323" s="78">
        <v>8.5699999999999998E-2</v>
      </c>
    </row>
    <row r="1324" spans="7:16" x14ac:dyDescent="0.3">
      <c r="G1324" t="s">
        <v>2815</v>
      </c>
      <c r="H1324" s="76" t="s">
        <v>358</v>
      </c>
      <c r="I1324" s="76" t="s">
        <v>359</v>
      </c>
      <c r="J1324" s="76" t="s">
        <v>360</v>
      </c>
      <c r="K1324" s="77">
        <v>42187</v>
      </c>
      <c r="L1324" s="76" t="s">
        <v>405</v>
      </c>
      <c r="M1324" s="76" t="s">
        <v>780</v>
      </c>
      <c r="N1324" s="76">
        <v>800</v>
      </c>
      <c r="O1324" s="76">
        <v>576</v>
      </c>
      <c r="P1324" s="78">
        <v>0.28000000000000003</v>
      </c>
    </row>
    <row r="1325" spans="7:16" x14ac:dyDescent="0.3">
      <c r="G1325" t="s">
        <v>2816</v>
      </c>
      <c r="H1325" s="76" t="s">
        <v>403</v>
      </c>
      <c r="I1325" s="76" t="s">
        <v>404</v>
      </c>
      <c r="J1325" s="76" t="s">
        <v>360</v>
      </c>
      <c r="K1325" s="77">
        <v>42742</v>
      </c>
      <c r="L1325" s="76" t="s">
        <v>385</v>
      </c>
      <c r="M1325" s="76" t="s">
        <v>1919</v>
      </c>
      <c r="N1325" s="76">
        <v>50</v>
      </c>
      <c r="O1325" s="76">
        <v>48</v>
      </c>
      <c r="P1325" s="78">
        <v>0.04</v>
      </c>
    </row>
    <row r="1326" spans="7:16" x14ac:dyDescent="0.3">
      <c r="G1326" t="s">
        <v>2817</v>
      </c>
      <c r="H1326" s="76" t="s">
        <v>747</v>
      </c>
      <c r="I1326" s="76" t="s">
        <v>748</v>
      </c>
      <c r="J1326" s="76" t="s">
        <v>360</v>
      </c>
      <c r="K1326" s="76" t="s">
        <v>2818</v>
      </c>
      <c r="L1326" s="76" t="s">
        <v>475</v>
      </c>
      <c r="M1326" s="76" t="s">
        <v>749</v>
      </c>
      <c r="N1326" s="76">
        <v>250</v>
      </c>
      <c r="O1326" s="76">
        <v>248</v>
      </c>
      <c r="P1326" s="78">
        <v>8.0000000000000002E-3</v>
      </c>
    </row>
    <row r="1327" spans="7:16" x14ac:dyDescent="0.3">
      <c r="G1327" t="s">
        <v>2819</v>
      </c>
      <c r="H1327" s="76" t="s">
        <v>459</v>
      </c>
      <c r="I1327" s="76" t="s">
        <v>422</v>
      </c>
      <c r="J1327" s="76" t="s">
        <v>384</v>
      </c>
      <c r="K1327" s="77">
        <v>42016</v>
      </c>
      <c r="L1327" s="76" t="s">
        <v>373</v>
      </c>
      <c r="M1327" s="76" t="s">
        <v>977</v>
      </c>
      <c r="N1327" s="76">
        <v>700</v>
      </c>
      <c r="O1327" s="76">
        <v>567</v>
      </c>
      <c r="P1327" s="78">
        <v>0.19</v>
      </c>
    </row>
    <row r="1328" spans="7:16" x14ac:dyDescent="0.3">
      <c r="G1328" t="s">
        <v>2820</v>
      </c>
      <c r="H1328" s="76" t="s">
        <v>421</v>
      </c>
      <c r="I1328" s="76" t="s">
        <v>422</v>
      </c>
      <c r="J1328" s="76" t="s">
        <v>384</v>
      </c>
      <c r="K1328" s="77">
        <v>42861</v>
      </c>
      <c r="L1328" s="76" t="s">
        <v>405</v>
      </c>
      <c r="M1328" s="76" t="s">
        <v>1596</v>
      </c>
      <c r="N1328" s="76">
        <v>800</v>
      </c>
      <c r="O1328" s="76">
        <v>472</v>
      </c>
      <c r="P1328" s="78">
        <v>0.41</v>
      </c>
    </row>
    <row r="1329" spans="7:16" x14ac:dyDescent="0.3">
      <c r="G1329" t="s">
        <v>2821</v>
      </c>
      <c r="H1329" s="76" t="s">
        <v>675</v>
      </c>
      <c r="I1329" s="76" t="s">
        <v>676</v>
      </c>
      <c r="J1329" s="76" t="s">
        <v>384</v>
      </c>
      <c r="K1329" s="76" t="s">
        <v>835</v>
      </c>
      <c r="L1329" s="76" t="s">
        <v>373</v>
      </c>
      <c r="M1329" s="76" t="s">
        <v>1071</v>
      </c>
      <c r="N1329" s="76">
        <v>700</v>
      </c>
      <c r="O1329" s="76">
        <v>595</v>
      </c>
      <c r="P1329" s="78">
        <v>0.15</v>
      </c>
    </row>
    <row r="1330" spans="7:16" x14ac:dyDescent="0.3">
      <c r="G1330" t="s">
        <v>2822</v>
      </c>
      <c r="H1330" s="76" t="s">
        <v>478</v>
      </c>
      <c r="I1330" s="76" t="s">
        <v>479</v>
      </c>
      <c r="J1330" s="76" t="s">
        <v>384</v>
      </c>
      <c r="K1330" s="76" t="s">
        <v>1365</v>
      </c>
      <c r="L1330" s="76" t="s">
        <v>391</v>
      </c>
      <c r="M1330" s="76" t="s">
        <v>480</v>
      </c>
      <c r="N1330" s="76">
        <v>30</v>
      </c>
      <c r="O1330" s="76">
        <v>29</v>
      </c>
      <c r="P1330" s="78">
        <v>3.3300000000000003E-2</v>
      </c>
    </row>
    <row r="1331" spans="7:16" x14ac:dyDescent="0.3">
      <c r="G1331" t="s">
        <v>2823</v>
      </c>
      <c r="H1331" s="76" t="s">
        <v>449</v>
      </c>
      <c r="I1331" s="76" t="s">
        <v>450</v>
      </c>
      <c r="J1331" s="76" t="s">
        <v>360</v>
      </c>
      <c r="K1331" s="76" t="s">
        <v>1136</v>
      </c>
      <c r="L1331" s="76" t="s">
        <v>483</v>
      </c>
      <c r="M1331" s="76" t="s">
        <v>1340</v>
      </c>
      <c r="N1331" s="76">
        <v>50</v>
      </c>
      <c r="O1331" s="76">
        <v>36</v>
      </c>
      <c r="P1331" s="78">
        <v>0.28000000000000003</v>
      </c>
    </row>
    <row r="1332" spans="7:16" x14ac:dyDescent="0.3">
      <c r="G1332" t="s">
        <v>2824</v>
      </c>
      <c r="H1332" s="76" t="s">
        <v>473</v>
      </c>
      <c r="I1332" s="76" t="s">
        <v>404</v>
      </c>
      <c r="J1332" s="76" t="s">
        <v>360</v>
      </c>
      <c r="K1332" s="76" t="s">
        <v>1791</v>
      </c>
      <c r="L1332" s="76" t="s">
        <v>385</v>
      </c>
      <c r="M1332" s="76" t="s">
        <v>630</v>
      </c>
      <c r="N1332" s="76">
        <v>50</v>
      </c>
      <c r="O1332" s="76">
        <v>31</v>
      </c>
      <c r="P1332" s="78">
        <v>0.38</v>
      </c>
    </row>
    <row r="1333" spans="7:16" x14ac:dyDescent="0.3">
      <c r="G1333" t="s">
        <v>2825</v>
      </c>
      <c r="H1333" s="76" t="s">
        <v>469</v>
      </c>
      <c r="I1333" s="76" t="s">
        <v>435</v>
      </c>
      <c r="J1333" s="76" t="s">
        <v>360</v>
      </c>
      <c r="K1333" s="77">
        <v>42408</v>
      </c>
      <c r="L1333" s="76" t="s">
        <v>461</v>
      </c>
      <c r="M1333" s="76" t="s">
        <v>2213</v>
      </c>
      <c r="N1333" s="76">
        <v>70</v>
      </c>
      <c r="O1333" s="76">
        <v>68</v>
      </c>
      <c r="P1333" s="78">
        <v>2.86E-2</v>
      </c>
    </row>
    <row r="1334" spans="7:16" x14ac:dyDescent="0.3">
      <c r="G1334" t="s">
        <v>2826</v>
      </c>
      <c r="H1334" s="76" t="s">
        <v>528</v>
      </c>
      <c r="I1334" s="76" t="s">
        <v>465</v>
      </c>
      <c r="J1334" s="76" t="s">
        <v>366</v>
      </c>
      <c r="K1334" s="76" t="s">
        <v>1144</v>
      </c>
      <c r="L1334" s="76" t="s">
        <v>373</v>
      </c>
      <c r="M1334" s="76" t="s">
        <v>2789</v>
      </c>
      <c r="N1334" s="76">
        <v>700</v>
      </c>
      <c r="O1334" s="76">
        <v>672</v>
      </c>
      <c r="P1334" s="78">
        <v>0.04</v>
      </c>
    </row>
    <row r="1335" spans="7:16" x14ac:dyDescent="0.3">
      <c r="G1335" t="s">
        <v>2827</v>
      </c>
      <c r="H1335" s="76" t="s">
        <v>485</v>
      </c>
      <c r="I1335" s="76" t="s">
        <v>389</v>
      </c>
      <c r="J1335" s="76" t="s">
        <v>384</v>
      </c>
      <c r="K1335" s="76" t="s">
        <v>2828</v>
      </c>
      <c r="L1335" s="76" t="s">
        <v>475</v>
      </c>
      <c r="M1335" s="76" t="s">
        <v>1673</v>
      </c>
      <c r="N1335" s="76">
        <v>250</v>
      </c>
      <c r="O1335" s="76">
        <v>240</v>
      </c>
      <c r="P1335" s="78">
        <v>0.04</v>
      </c>
    </row>
    <row r="1336" spans="7:16" x14ac:dyDescent="0.3">
      <c r="G1336" t="s">
        <v>2829</v>
      </c>
      <c r="H1336" s="76" t="s">
        <v>454</v>
      </c>
      <c r="I1336" s="76" t="s">
        <v>455</v>
      </c>
      <c r="J1336" s="76" t="s">
        <v>360</v>
      </c>
      <c r="K1336" s="76" t="s">
        <v>1435</v>
      </c>
      <c r="L1336" s="76" t="s">
        <v>405</v>
      </c>
      <c r="M1336" s="76" t="s">
        <v>1577</v>
      </c>
      <c r="N1336" s="76">
        <v>800</v>
      </c>
      <c r="O1336" s="76">
        <v>696</v>
      </c>
      <c r="P1336" s="78">
        <v>0.13</v>
      </c>
    </row>
    <row r="1337" spans="7:16" x14ac:dyDescent="0.3">
      <c r="G1337" t="s">
        <v>2830</v>
      </c>
      <c r="H1337" s="76" t="s">
        <v>429</v>
      </c>
      <c r="I1337" s="76" t="s">
        <v>430</v>
      </c>
      <c r="J1337" s="76" t="s">
        <v>384</v>
      </c>
      <c r="K1337" s="77">
        <v>43445</v>
      </c>
      <c r="L1337" s="76" t="s">
        <v>373</v>
      </c>
      <c r="M1337" s="76" t="s">
        <v>838</v>
      </c>
      <c r="N1337" s="76">
        <v>700</v>
      </c>
      <c r="O1337" s="76">
        <v>602</v>
      </c>
      <c r="P1337" s="78">
        <v>0.14000000000000001</v>
      </c>
    </row>
    <row r="1338" spans="7:16" x14ac:dyDescent="0.3">
      <c r="G1338" t="s">
        <v>2831</v>
      </c>
      <c r="H1338" s="76" t="s">
        <v>638</v>
      </c>
      <c r="I1338" s="76" t="s">
        <v>639</v>
      </c>
      <c r="J1338" s="76" t="s">
        <v>360</v>
      </c>
      <c r="K1338" s="76" t="s">
        <v>2832</v>
      </c>
      <c r="L1338" s="76" t="s">
        <v>385</v>
      </c>
      <c r="M1338" s="76" t="s">
        <v>698</v>
      </c>
      <c r="N1338" s="76">
        <v>50</v>
      </c>
      <c r="O1338" s="76">
        <v>43</v>
      </c>
      <c r="P1338" s="78">
        <v>0.14000000000000001</v>
      </c>
    </row>
    <row r="1339" spans="7:16" x14ac:dyDescent="0.3">
      <c r="G1339" t="s">
        <v>2833</v>
      </c>
      <c r="H1339" s="76" t="s">
        <v>370</v>
      </c>
      <c r="I1339" s="76" t="s">
        <v>371</v>
      </c>
      <c r="J1339" s="76" t="s">
        <v>372</v>
      </c>
      <c r="K1339" s="76" t="s">
        <v>857</v>
      </c>
      <c r="L1339" s="76" t="s">
        <v>461</v>
      </c>
      <c r="M1339" s="76" t="s">
        <v>958</v>
      </c>
      <c r="N1339" s="76">
        <v>70</v>
      </c>
      <c r="O1339" s="76">
        <v>42</v>
      </c>
      <c r="P1339" s="78">
        <v>0.4</v>
      </c>
    </row>
    <row r="1340" spans="7:16" x14ac:dyDescent="0.3">
      <c r="G1340" t="s">
        <v>2834</v>
      </c>
      <c r="H1340" s="76" t="s">
        <v>566</v>
      </c>
      <c r="I1340" s="76" t="s">
        <v>567</v>
      </c>
      <c r="J1340" s="76" t="s">
        <v>360</v>
      </c>
      <c r="K1340" s="77">
        <v>41646</v>
      </c>
      <c r="L1340" s="76" t="s">
        <v>391</v>
      </c>
      <c r="M1340" s="76" t="s">
        <v>1302</v>
      </c>
      <c r="N1340" s="76">
        <v>30</v>
      </c>
      <c r="O1340" s="76">
        <v>30</v>
      </c>
      <c r="P1340" s="78">
        <v>0</v>
      </c>
    </row>
    <row r="1341" spans="7:16" x14ac:dyDescent="0.3">
      <c r="G1341" t="s">
        <v>2835</v>
      </c>
      <c r="H1341" s="76" t="s">
        <v>668</v>
      </c>
      <c r="I1341" s="76" t="s">
        <v>669</v>
      </c>
      <c r="J1341" s="76" t="s">
        <v>360</v>
      </c>
      <c r="K1341" s="76" t="s">
        <v>2782</v>
      </c>
      <c r="L1341" s="76" t="s">
        <v>373</v>
      </c>
      <c r="M1341" s="76" t="s">
        <v>1385</v>
      </c>
      <c r="N1341" s="76">
        <v>700</v>
      </c>
      <c r="O1341" s="76">
        <v>623</v>
      </c>
      <c r="P1341" s="78">
        <v>0.11</v>
      </c>
    </row>
    <row r="1342" spans="7:16" x14ac:dyDescent="0.3">
      <c r="G1342" t="s">
        <v>2836</v>
      </c>
      <c r="H1342" s="76" t="s">
        <v>459</v>
      </c>
      <c r="I1342" s="76" t="s">
        <v>422</v>
      </c>
      <c r="J1342" s="76" t="s">
        <v>384</v>
      </c>
      <c r="K1342" s="76" t="s">
        <v>2837</v>
      </c>
      <c r="L1342" s="76" t="s">
        <v>361</v>
      </c>
      <c r="M1342" s="76" t="s">
        <v>2355</v>
      </c>
      <c r="N1342" s="76">
        <v>80</v>
      </c>
      <c r="O1342" s="76">
        <v>76</v>
      </c>
      <c r="P1342" s="78">
        <v>0.05</v>
      </c>
    </row>
    <row r="1343" spans="7:16" x14ac:dyDescent="0.3">
      <c r="G1343" t="s">
        <v>2838</v>
      </c>
      <c r="H1343" s="76" t="s">
        <v>399</v>
      </c>
      <c r="I1343" s="76" t="s">
        <v>400</v>
      </c>
      <c r="J1343" s="76" t="s">
        <v>372</v>
      </c>
      <c r="K1343" s="76" t="s">
        <v>1430</v>
      </c>
      <c r="L1343" s="76" t="s">
        <v>461</v>
      </c>
      <c r="M1343" s="76" t="s">
        <v>1650</v>
      </c>
      <c r="N1343" s="76">
        <v>70</v>
      </c>
      <c r="O1343" s="76">
        <v>45</v>
      </c>
      <c r="P1343" s="78">
        <v>0.35709999999999997</v>
      </c>
    </row>
    <row r="1344" spans="7:16" x14ac:dyDescent="0.3">
      <c r="G1344" t="s">
        <v>2839</v>
      </c>
      <c r="H1344" s="76" t="s">
        <v>485</v>
      </c>
      <c r="I1344" s="76" t="s">
        <v>389</v>
      </c>
      <c r="J1344" s="76" t="s">
        <v>384</v>
      </c>
      <c r="K1344" s="76" t="s">
        <v>2796</v>
      </c>
      <c r="L1344" s="76" t="s">
        <v>405</v>
      </c>
      <c r="M1344" s="76" t="s">
        <v>1673</v>
      </c>
      <c r="N1344" s="76">
        <v>800</v>
      </c>
      <c r="O1344" s="76">
        <v>720</v>
      </c>
      <c r="P1344" s="78">
        <v>0.1</v>
      </c>
    </row>
    <row r="1345" spans="7:16" x14ac:dyDescent="0.3">
      <c r="G1345" t="s">
        <v>2840</v>
      </c>
      <c r="H1345" s="76" t="s">
        <v>524</v>
      </c>
      <c r="I1345" s="76" t="s">
        <v>465</v>
      </c>
      <c r="J1345" s="76" t="s">
        <v>366</v>
      </c>
      <c r="K1345" s="76" t="s">
        <v>2841</v>
      </c>
      <c r="L1345" s="76" t="s">
        <v>461</v>
      </c>
      <c r="M1345" s="76" t="s">
        <v>969</v>
      </c>
      <c r="N1345" s="76">
        <v>70</v>
      </c>
      <c r="O1345" s="76">
        <v>63</v>
      </c>
      <c r="P1345" s="78">
        <v>0.1</v>
      </c>
    </row>
    <row r="1346" spans="7:16" x14ac:dyDescent="0.3">
      <c r="G1346" t="s">
        <v>2842</v>
      </c>
      <c r="H1346" s="76" t="s">
        <v>403</v>
      </c>
      <c r="I1346" s="76" t="s">
        <v>404</v>
      </c>
      <c r="J1346" s="76" t="s">
        <v>360</v>
      </c>
      <c r="K1346" s="77">
        <v>42917</v>
      </c>
      <c r="L1346" s="76" t="s">
        <v>379</v>
      </c>
      <c r="M1346" s="76" t="s">
        <v>1414</v>
      </c>
      <c r="N1346" s="76">
        <v>150</v>
      </c>
      <c r="O1346" s="76">
        <v>150</v>
      </c>
      <c r="P1346" s="78">
        <v>0</v>
      </c>
    </row>
    <row r="1347" spans="7:16" x14ac:dyDescent="0.3">
      <c r="G1347" t="s">
        <v>2843</v>
      </c>
      <c r="H1347" s="76" t="s">
        <v>469</v>
      </c>
      <c r="I1347" s="76" t="s">
        <v>435</v>
      </c>
      <c r="J1347" s="76" t="s">
        <v>360</v>
      </c>
      <c r="K1347" s="77">
        <v>42287</v>
      </c>
      <c r="L1347" s="76" t="s">
        <v>424</v>
      </c>
      <c r="M1347" s="76" t="s">
        <v>2555</v>
      </c>
      <c r="N1347" s="76">
        <v>500</v>
      </c>
      <c r="O1347" s="76">
        <v>490</v>
      </c>
      <c r="P1347" s="78">
        <v>0.02</v>
      </c>
    </row>
    <row r="1348" spans="7:16" x14ac:dyDescent="0.3">
      <c r="G1348" t="s">
        <v>2844</v>
      </c>
      <c r="H1348" s="76" t="s">
        <v>747</v>
      </c>
      <c r="I1348" s="76" t="s">
        <v>748</v>
      </c>
      <c r="J1348" s="76" t="s">
        <v>360</v>
      </c>
      <c r="K1348" s="77">
        <v>42714</v>
      </c>
      <c r="L1348" s="76" t="s">
        <v>396</v>
      </c>
      <c r="M1348" s="76" t="s">
        <v>2845</v>
      </c>
      <c r="N1348" s="76">
        <v>500</v>
      </c>
      <c r="O1348" s="76">
        <v>500</v>
      </c>
      <c r="P1348" s="78">
        <v>0</v>
      </c>
    </row>
    <row r="1349" spans="7:16" x14ac:dyDescent="0.3">
      <c r="G1349" t="s">
        <v>2846</v>
      </c>
      <c r="H1349" s="76" t="s">
        <v>459</v>
      </c>
      <c r="I1349" s="76" t="s">
        <v>422</v>
      </c>
      <c r="J1349" s="76" t="s">
        <v>384</v>
      </c>
      <c r="K1349" s="76" t="s">
        <v>2847</v>
      </c>
      <c r="L1349" s="76" t="s">
        <v>475</v>
      </c>
      <c r="M1349" s="76" t="s">
        <v>1283</v>
      </c>
      <c r="N1349" s="76">
        <v>250</v>
      </c>
      <c r="O1349" s="76">
        <v>225</v>
      </c>
      <c r="P1349" s="78">
        <v>0.1</v>
      </c>
    </row>
    <row r="1350" spans="7:16" x14ac:dyDescent="0.3">
      <c r="G1350" t="s">
        <v>2848</v>
      </c>
      <c r="H1350" s="76" t="s">
        <v>485</v>
      </c>
      <c r="I1350" s="76" t="s">
        <v>389</v>
      </c>
      <c r="J1350" s="76" t="s">
        <v>384</v>
      </c>
      <c r="K1350" s="77">
        <v>42073</v>
      </c>
      <c r="L1350" s="76" t="s">
        <v>385</v>
      </c>
      <c r="M1350" s="76" t="s">
        <v>487</v>
      </c>
      <c r="N1350" s="76">
        <v>50</v>
      </c>
      <c r="O1350" s="76">
        <v>43</v>
      </c>
      <c r="P1350" s="78">
        <v>0.14000000000000001</v>
      </c>
    </row>
    <row r="1351" spans="7:16" x14ac:dyDescent="0.3">
      <c r="G1351" t="s">
        <v>2849</v>
      </c>
      <c r="H1351" s="76" t="s">
        <v>551</v>
      </c>
      <c r="I1351" s="76" t="s">
        <v>552</v>
      </c>
      <c r="J1351" s="76" t="s">
        <v>360</v>
      </c>
      <c r="K1351" s="77">
        <v>42983</v>
      </c>
      <c r="L1351" s="76" t="s">
        <v>483</v>
      </c>
      <c r="M1351" s="76" t="s">
        <v>553</v>
      </c>
      <c r="N1351" s="76">
        <v>50</v>
      </c>
      <c r="O1351" s="76">
        <v>47</v>
      </c>
      <c r="P1351" s="78">
        <v>0.06</v>
      </c>
    </row>
    <row r="1352" spans="7:16" x14ac:dyDescent="0.3">
      <c r="G1352" t="s">
        <v>2850</v>
      </c>
      <c r="H1352" s="76" t="s">
        <v>611</v>
      </c>
      <c r="I1352" s="76" t="s">
        <v>389</v>
      </c>
      <c r="J1352" s="76" t="s">
        <v>384</v>
      </c>
      <c r="K1352" s="76" t="s">
        <v>1560</v>
      </c>
      <c r="L1352" s="76" t="s">
        <v>411</v>
      </c>
      <c r="M1352" s="76" t="s">
        <v>2851</v>
      </c>
      <c r="N1352" s="76">
        <v>1000</v>
      </c>
      <c r="O1352" s="76">
        <v>870</v>
      </c>
      <c r="P1352" s="78">
        <v>0.13</v>
      </c>
    </row>
    <row r="1353" spans="7:16" x14ac:dyDescent="0.3">
      <c r="G1353" t="s">
        <v>2852</v>
      </c>
      <c r="H1353" s="76" t="s">
        <v>382</v>
      </c>
      <c r="I1353" s="76" t="s">
        <v>383</v>
      </c>
      <c r="J1353" s="76" t="s">
        <v>384</v>
      </c>
      <c r="K1353" s="76" t="s">
        <v>2853</v>
      </c>
      <c r="L1353" s="76" t="s">
        <v>405</v>
      </c>
      <c r="M1353" s="76" t="s">
        <v>386</v>
      </c>
      <c r="N1353" s="76">
        <v>800</v>
      </c>
      <c r="O1353" s="76">
        <v>456</v>
      </c>
      <c r="P1353" s="78">
        <v>0.43</v>
      </c>
    </row>
    <row r="1354" spans="7:16" x14ac:dyDescent="0.3">
      <c r="G1354" t="s">
        <v>2854</v>
      </c>
      <c r="H1354" s="76" t="s">
        <v>421</v>
      </c>
      <c r="I1354" s="76" t="s">
        <v>422</v>
      </c>
      <c r="J1354" s="76" t="s">
        <v>384</v>
      </c>
      <c r="K1354" s="76" t="s">
        <v>2855</v>
      </c>
      <c r="L1354" s="76" t="s">
        <v>373</v>
      </c>
      <c r="M1354" s="76" t="s">
        <v>2599</v>
      </c>
      <c r="N1354" s="76">
        <v>700</v>
      </c>
      <c r="O1354" s="76">
        <v>525</v>
      </c>
      <c r="P1354" s="78">
        <v>0.25</v>
      </c>
    </row>
    <row r="1355" spans="7:16" x14ac:dyDescent="0.3">
      <c r="G1355" t="s">
        <v>2856</v>
      </c>
      <c r="H1355" s="76" t="s">
        <v>459</v>
      </c>
      <c r="I1355" s="76" t="s">
        <v>422</v>
      </c>
      <c r="J1355" s="76" t="s">
        <v>384</v>
      </c>
      <c r="K1355" s="76" t="s">
        <v>2857</v>
      </c>
      <c r="L1355" s="76" t="s">
        <v>461</v>
      </c>
      <c r="M1355" s="76" t="s">
        <v>646</v>
      </c>
      <c r="N1355" s="76">
        <v>70</v>
      </c>
      <c r="O1355" s="76">
        <v>63</v>
      </c>
      <c r="P1355" s="78">
        <v>0.1</v>
      </c>
    </row>
    <row r="1356" spans="7:16" x14ac:dyDescent="0.3">
      <c r="G1356" t="s">
        <v>2858</v>
      </c>
      <c r="H1356" s="76" t="s">
        <v>494</v>
      </c>
      <c r="I1356" s="76" t="s">
        <v>465</v>
      </c>
      <c r="J1356" s="76" t="s">
        <v>366</v>
      </c>
      <c r="K1356" s="76" t="s">
        <v>2859</v>
      </c>
      <c r="L1356" s="76" t="s">
        <v>391</v>
      </c>
      <c r="M1356" s="76" t="s">
        <v>2378</v>
      </c>
      <c r="N1356" s="76">
        <v>30</v>
      </c>
      <c r="O1356" s="76">
        <v>26</v>
      </c>
      <c r="P1356" s="78">
        <v>0.1333</v>
      </c>
    </row>
    <row r="1357" spans="7:16" x14ac:dyDescent="0.3">
      <c r="G1357" t="s">
        <v>2860</v>
      </c>
      <c r="H1357" s="76" t="s">
        <v>700</v>
      </c>
      <c r="I1357" s="76" t="s">
        <v>465</v>
      </c>
      <c r="J1357" s="76" t="s">
        <v>366</v>
      </c>
      <c r="K1357" s="77">
        <v>41825</v>
      </c>
      <c r="L1357" s="76" t="s">
        <v>396</v>
      </c>
      <c r="M1357" s="76" t="s">
        <v>702</v>
      </c>
      <c r="N1357" s="76">
        <v>500</v>
      </c>
      <c r="O1357" s="76">
        <v>500</v>
      </c>
      <c r="P1357" s="78">
        <v>0</v>
      </c>
    </row>
    <row r="1358" spans="7:16" x14ac:dyDescent="0.3">
      <c r="G1358" t="s">
        <v>2861</v>
      </c>
      <c r="H1358" s="76" t="s">
        <v>566</v>
      </c>
      <c r="I1358" s="76" t="s">
        <v>567</v>
      </c>
      <c r="J1358" s="76" t="s">
        <v>360</v>
      </c>
      <c r="K1358" s="77">
        <v>43258</v>
      </c>
      <c r="L1358" s="76" t="s">
        <v>391</v>
      </c>
      <c r="M1358" s="76" t="s">
        <v>1849</v>
      </c>
      <c r="N1358" s="76">
        <v>30</v>
      </c>
      <c r="O1358" s="76">
        <v>29</v>
      </c>
      <c r="P1358" s="78">
        <v>3.3300000000000003E-2</v>
      </c>
    </row>
    <row r="1359" spans="7:16" x14ac:dyDescent="0.3">
      <c r="G1359" t="s">
        <v>2862</v>
      </c>
      <c r="H1359" s="76" t="s">
        <v>494</v>
      </c>
      <c r="I1359" s="76" t="s">
        <v>465</v>
      </c>
      <c r="J1359" s="76" t="s">
        <v>366</v>
      </c>
      <c r="K1359" s="77">
        <v>41675</v>
      </c>
      <c r="L1359" s="76" t="s">
        <v>391</v>
      </c>
      <c r="M1359" s="76" t="s">
        <v>600</v>
      </c>
      <c r="N1359" s="76">
        <v>30</v>
      </c>
      <c r="O1359" s="76">
        <v>23</v>
      </c>
      <c r="P1359" s="78">
        <v>0.23330000000000001</v>
      </c>
    </row>
    <row r="1360" spans="7:16" x14ac:dyDescent="0.3">
      <c r="G1360" t="s">
        <v>2863</v>
      </c>
      <c r="H1360" s="76" t="s">
        <v>675</v>
      </c>
      <c r="I1360" s="76" t="s">
        <v>676</v>
      </c>
      <c r="J1360" s="76" t="s">
        <v>384</v>
      </c>
      <c r="K1360" s="77">
        <v>42714</v>
      </c>
      <c r="L1360" s="76" t="s">
        <v>424</v>
      </c>
      <c r="M1360" s="76" t="s">
        <v>1268</v>
      </c>
      <c r="N1360" s="76">
        <v>500</v>
      </c>
      <c r="O1360" s="76">
        <v>495</v>
      </c>
      <c r="P1360" s="78">
        <v>0.01</v>
      </c>
    </row>
    <row r="1361" spans="7:16" x14ac:dyDescent="0.3">
      <c r="G1361" t="s">
        <v>2864</v>
      </c>
      <c r="H1361" s="76" t="s">
        <v>444</v>
      </c>
      <c r="I1361" s="76" t="s">
        <v>445</v>
      </c>
      <c r="J1361" s="76" t="s">
        <v>384</v>
      </c>
      <c r="K1361" s="77">
        <v>43049</v>
      </c>
      <c r="L1361" s="76" t="s">
        <v>396</v>
      </c>
      <c r="M1361" s="76" t="s">
        <v>1854</v>
      </c>
      <c r="N1361" s="76">
        <v>500</v>
      </c>
      <c r="O1361" s="76">
        <v>480</v>
      </c>
      <c r="P1361" s="78">
        <v>0.04</v>
      </c>
    </row>
    <row r="1362" spans="7:16" x14ac:dyDescent="0.3">
      <c r="G1362" t="s">
        <v>2865</v>
      </c>
      <c r="H1362" s="76" t="s">
        <v>449</v>
      </c>
      <c r="I1362" s="76" t="s">
        <v>450</v>
      </c>
      <c r="J1362" s="76" t="s">
        <v>360</v>
      </c>
      <c r="K1362" s="76" t="s">
        <v>2397</v>
      </c>
      <c r="L1362" s="76" t="s">
        <v>411</v>
      </c>
      <c r="M1362" s="76" t="s">
        <v>2019</v>
      </c>
      <c r="N1362" s="76">
        <v>1000</v>
      </c>
      <c r="O1362" s="76">
        <v>930</v>
      </c>
      <c r="P1362" s="78">
        <v>7.0000000000000007E-2</v>
      </c>
    </row>
    <row r="1363" spans="7:16" x14ac:dyDescent="0.3">
      <c r="G1363" t="s">
        <v>2866</v>
      </c>
      <c r="H1363" s="76" t="s">
        <v>438</v>
      </c>
      <c r="I1363" s="76" t="s">
        <v>439</v>
      </c>
      <c r="J1363" s="76" t="s">
        <v>360</v>
      </c>
      <c r="K1363" s="76" t="s">
        <v>1569</v>
      </c>
      <c r="L1363" s="76" t="s">
        <v>379</v>
      </c>
      <c r="M1363" s="76" t="s">
        <v>542</v>
      </c>
      <c r="N1363" s="76">
        <v>150</v>
      </c>
      <c r="O1363" s="76">
        <v>110</v>
      </c>
      <c r="P1363" s="78">
        <v>0.26669999999999999</v>
      </c>
    </row>
    <row r="1364" spans="7:16" x14ac:dyDescent="0.3">
      <c r="G1364" t="s">
        <v>2867</v>
      </c>
      <c r="H1364" s="76" t="s">
        <v>560</v>
      </c>
      <c r="I1364" s="76" t="s">
        <v>465</v>
      </c>
      <c r="J1364" s="76" t="s">
        <v>366</v>
      </c>
      <c r="K1364" s="77">
        <v>41764</v>
      </c>
      <c r="L1364" s="76" t="s">
        <v>411</v>
      </c>
      <c r="M1364" s="76" t="s">
        <v>1994</v>
      </c>
      <c r="N1364" s="76">
        <v>1000</v>
      </c>
      <c r="O1364" s="76">
        <v>910</v>
      </c>
      <c r="P1364" s="78">
        <v>0.09</v>
      </c>
    </row>
    <row r="1365" spans="7:16" x14ac:dyDescent="0.3">
      <c r="G1365" t="s">
        <v>2868</v>
      </c>
      <c r="H1365" s="76" t="s">
        <v>434</v>
      </c>
      <c r="I1365" s="76" t="s">
        <v>435</v>
      </c>
      <c r="J1365" s="76" t="s">
        <v>360</v>
      </c>
      <c r="K1365" s="77">
        <v>42586</v>
      </c>
      <c r="L1365" s="76" t="s">
        <v>461</v>
      </c>
      <c r="M1365" s="76" t="s">
        <v>691</v>
      </c>
      <c r="N1365" s="76">
        <v>70</v>
      </c>
      <c r="O1365" s="76">
        <v>69</v>
      </c>
      <c r="P1365" s="78">
        <v>1.43E-2</v>
      </c>
    </row>
    <row r="1366" spans="7:16" x14ac:dyDescent="0.3">
      <c r="G1366" t="s">
        <v>2869</v>
      </c>
      <c r="H1366" s="76" t="s">
        <v>358</v>
      </c>
      <c r="I1366" s="76" t="s">
        <v>359</v>
      </c>
      <c r="J1366" s="76" t="s">
        <v>360</v>
      </c>
      <c r="K1366" s="77">
        <v>42186</v>
      </c>
      <c r="L1366" s="76" t="s">
        <v>373</v>
      </c>
      <c r="M1366" s="76" t="s">
        <v>1858</v>
      </c>
      <c r="N1366" s="76">
        <v>700</v>
      </c>
      <c r="O1366" s="76">
        <v>665</v>
      </c>
      <c r="P1366" s="78">
        <v>0.05</v>
      </c>
    </row>
    <row r="1367" spans="7:16" x14ac:dyDescent="0.3">
      <c r="G1367" t="s">
        <v>2870</v>
      </c>
      <c r="H1367" s="76" t="s">
        <v>409</v>
      </c>
      <c r="I1367" s="76" t="s">
        <v>410</v>
      </c>
      <c r="J1367" s="76" t="s">
        <v>360</v>
      </c>
      <c r="K1367" s="76" t="s">
        <v>2871</v>
      </c>
      <c r="L1367" s="76" t="s">
        <v>379</v>
      </c>
      <c r="M1367" s="76" t="s">
        <v>2633</v>
      </c>
      <c r="N1367" s="76">
        <v>150</v>
      </c>
      <c r="O1367" s="76">
        <v>143</v>
      </c>
      <c r="P1367" s="78">
        <v>4.6699999999999998E-2</v>
      </c>
    </row>
    <row r="1368" spans="7:16" x14ac:dyDescent="0.3">
      <c r="G1368" t="s">
        <v>2872</v>
      </c>
      <c r="H1368" s="76" t="s">
        <v>444</v>
      </c>
      <c r="I1368" s="76" t="s">
        <v>445</v>
      </c>
      <c r="J1368" s="76" t="s">
        <v>384</v>
      </c>
      <c r="K1368" s="76" t="s">
        <v>2873</v>
      </c>
      <c r="L1368" s="76" t="s">
        <v>373</v>
      </c>
      <c r="M1368" s="76" t="s">
        <v>2189</v>
      </c>
      <c r="N1368" s="76">
        <v>700</v>
      </c>
      <c r="O1368" s="76">
        <v>672</v>
      </c>
      <c r="P1368" s="78">
        <v>0.04</v>
      </c>
    </row>
    <row r="1369" spans="7:16" x14ac:dyDescent="0.3">
      <c r="G1369" t="s">
        <v>2874</v>
      </c>
      <c r="H1369" s="76" t="s">
        <v>494</v>
      </c>
      <c r="I1369" s="76" t="s">
        <v>465</v>
      </c>
      <c r="J1369" s="76" t="s">
        <v>366</v>
      </c>
      <c r="K1369" s="76" t="s">
        <v>1616</v>
      </c>
      <c r="L1369" s="76" t="s">
        <v>385</v>
      </c>
      <c r="M1369" s="76" t="s">
        <v>2378</v>
      </c>
      <c r="N1369" s="76">
        <v>50</v>
      </c>
      <c r="O1369" s="76">
        <v>45</v>
      </c>
      <c r="P1369" s="78">
        <v>0.1</v>
      </c>
    </row>
    <row r="1370" spans="7:16" x14ac:dyDescent="0.3">
      <c r="G1370" t="s">
        <v>2875</v>
      </c>
      <c r="H1370" s="76" t="s">
        <v>747</v>
      </c>
      <c r="I1370" s="76" t="s">
        <v>748</v>
      </c>
      <c r="J1370" s="76" t="s">
        <v>360</v>
      </c>
      <c r="K1370" s="76" t="s">
        <v>1664</v>
      </c>
      <c r="L1370" s="76" t="s">
        <v>461</v>
      </c>
      <c r="M1370" s="76" t="s">
        <v>917</v>
      </c>
      <c r="N1370" s="76">
        <v>70</v>
      </c>
      <c r="O1370" s="76">
        <v>67</v>
      </c>
      <c r="P1370" s="78">
        <v>4.2900000000000001E-2</v>
      </c>
    </row>
    <row r="1371" spans="7:16" x14ac:dyDescent="0.3">
      <c r="G1371" t="s">
        <v>2876</v>
      </c>
      <c r="H1371" s="76" t="s">
        <v>421</v>
      </c>
      <c r="I1371" s="76" t="s">
        <v>422</v>
      </c>
      <c r="J1371" s="76" t="s">
        <v>384</v>
      </c>
      <c r="K1371" s="77">
        <v>42278</v>
      </c>
      <c r="L1371" s="76" t="s">
        <v>483</v>
      </c>
      <c r="M1371" s="76" t="s">
        <v>833</v>
      </c>
      <c r="N1371" s="76">
        <v>50</v>
      </c>
      <c r="O1371" s="76">
        <v>38</v>
      </c>
      <c r="P1371" s="78">
        <v>0.24</v>
      </c>
    </row>
    <row r="1372" spans="7:16" x14ac:dyDescent="0.3">
      <c r="G1372" t="s">
        <v>2877</v>
      </c>
      <c r="H1372" s="76" t="s">
        <v>399</v>
      </c>
      <c r="I1372" s="76" t="s">
        <v>400</v>
      </c>
      <c r="J1372" s="76" t="s">
        <v>372</v>
      </c>
      <c r="K1372" s="77">
        <v>42318</v>
      </c>
      <c r="L1372" s="76" t="s">
        <v>424</v>
      </c>
      <c r="M1372" s="76" t="s">
        <v>419</v>
      </c>
      <c r="N1372" s="76">
        <v>500</v>
      </c>
      <c r="O1372" s="76">
        <v>495</v>
      </c>
      <c r="P1372" s="78">
        <v>0.01</v>
      </c>
    </row>
    <row r="1373" spans="7:16" x14ac:dyDescent="0.3">
      <c r="G1373" t="s">
        <v>2878</v>
      </c>
      <c r="H1373" s="76" t="s">
        <v>615</v>
      </c>
      <c r="I1373" s="76" t="s">
        <v>400</v>
      </c>
      <c r="J1373" s="76" t="s">
        <v>372</v>
      </c>
      <c r="K1373" s="76" t="s">
        <v>2879</v>
      </c>
      <c r="L1373" s="76" t="s">
        <v>483</v>
      </c>
      <c r="M1373" s="76" t="s">
        <v>2880</v>
      </c>
      <c r="N1373" s="76">
        <v>50</v>
      </c>
      <c r="O1373" s="76">
        <v>43</v>
      </c>
      <c r="P1373" s="78">
        <v>0.14000000000000001</v>
      </c>
    </row>
    <row r="1374" spans="7:16" x14ac:dyDescent="0.3">
      <c r="G1374" t="s">
        <v>2881</v>
      </c>
      <c r="H1374" s="76" t="s">
        <v>454</v>
      </c>
      <c r="I1374" s="76" t="s">
        <v>455</v>
      </c>
      <c r="J1374" s="76" t="s">
        <v>360</v>
      </c>
      <c r="K1374" s="76" t="s">
        <v>2882</v>
      </c>
      <c r="L1374" s="76" t="s">
        <v>411</v>
      </c>
      <c r="M1374" s="76" t="s">
        <v>1529</v>
      </c>
      <c r="N1374" s="76">
        <v>1000</v>
      </c>
      <c r="O1374" s="76">
        <v>930</v>
      </c>
      <c r="P1374" s="78">
        <v>7.0000000000000007E-2</v>
      </c>
    </row>
    <row r="1375" spans="7:16" x14ac:dyDescent="0.3">
      <c r="G1375" t="s">
        <v>2883</v>
      </c>
      <c r="H1375" s="76" t="s">
        <v>524</v>
      </c>
      <c r="I1375" s="76" t="s">
        <v>465</v>
      </c>
      <c r="J1375" s="76" t="s">
        <v>366</v>
      </c>
      <c r="K1375" s="76" t="s">
        <v>2884</v>
      </c>
      <c r="L1375" s="76" t="s">
        <v>424</v>
      </c>
      <c r="M1375" s="76" t="s">
        <v>2038</v>
      </c>
      <c r="N1375" s="76">
        <v>500</v>
      </c>
      <c r="O1375" s="76">
        <v>490</v>
      </c>
      <c r="P1375" s="78">
        <v>0.02</v>
      </c>
    </row>
    <row r="1376" spans="7:16" x14ac:dyDescent="0.3">
      <c r="G1376" t="s">
        <v>2885</v>
      </c>
      <c r="H1376" s="76" t="s">
        <v>485</v>
      </c>
      <c r="I1376" s="76" t="s">
        <v>389</v>
      </c>
      <c r="J1376" s="76" t="s">
        <v>384</v>
      </c>
      <c r="K1376" s="77">
        <v>43101</v>
      </c>
      <c r="L1376" s="76" t="s">
        <v>373</v>
      </c>
      <c r="M1376" s="76" t="s">
        <v>1673</v>
      </c>
      <c r="N1376" s="76">
        <v>700</v>
      </c>
      <c r="O1376" s="76">
        <v>658</v>
      </c>
      <c r="P1376" s="78">
        <v>0.06</v>
      </c>
    </row>
    <row r="1377" spans="7:16" x14ac:dyDescent="0.3">
      <c r="G1377" t="s">
        <v>2886</v>
      </c>
      <c r="H1377" s="76" t="s">
        <v>675</v>
      </c>
      <c r="I1377" s="76" t="s">
        <v>676</v>
      </c>
      <c r="J1377" s="76" t="s">
        <v>384</v>
      </c>
      <c r="K1377" s="76" t="s">
        <v>1342</v>
      </c>
      <c r="L1377" s="76" t="s">
        <v>385</v>
      </c>
      <c r="M1377" s="76" t="s">
        <v>2728</v>
      </c>
      <c r="N1377" s="76">
        <v>50</v>
      </c>
      <c r="O1377" s="76">
        <v>47</v>
      </c>
      <c r="P1377" s="78">
        <v>0.06</v>
      </c>
    </row>
    <row r="1378" spans="7:16" x14ac:dyDescent="0.3">
      <c r="G1378" t="s">
        <v>2887</v>
      </c>
      <c r="H1378" s="76" t="s">
        <v>394</v>
      </c>
      <c r="I1378" s="76" t="s">
        <v>395</v>
      </c>
      <c r="J1378" s="76" t="s">
        <v>372</v>
      </c>
      <c r="K1378" s="76" t="s">
        <v>2888</v>
      </c>
      <c r="L1378" s="76" t="s">
        <v>475</v>
      </c>
      <c r="M1378" s="76" t="s">
        <v>744</v>
      </c>
      <c r="N1378" s="76">
        <v>250</v>
      </c>
      <c r="O1378" s="76">
        <v>220</v>
      </c>
      <c r="P1378" s="78">
        <v>0.12</v>
      </c>
    </row>
    <row r="1379" spans="7:16" x14ac:dyDescent="0.3">
      <c r="G1379" t="s">
        <v>2889</v>
      </c>
      <c r="H1379" s="76" t="s">
        <v>429</v>
      </c>
      <c r="I1379" s="76" t="s">
        <v>430</v>
      </c>
      <c r="J1379" s="76" t="s">
        <v>384</v>
      </c>
      <c r="K1379" s="77">
        <v>43072</v>
      </c>
      <c r="L1379" s="76" t="s">
        <v>411</v>
      </c>
      <c r="M1379" s="76" t="s">
        <v>432</v>
      </c>
      <c r="N1379" s="76">
        <v>1000</v>
      </c>
      <c r="O1379" s="76">
        <v>520</v>
      </c>
      <c r="P1379" s="78">
        <v>0.48</v>
      </c>
    </row>
    <row r="1380" spans="7:16" x14ac:dyDescent="0.3">
      <c r="G1380" t="s">
        <v>2890</v>
      </c>
      <c r="H1380" s="76" t="s">
        <v>409</v>
      </c>
      <c r="I1380" s="76" t="s">
        <v>410</v>
      </c>
      <c r="J1380" s="76" t="s">
        <v>360</v>
      </c>
      <c r="K1380" s="76" t="s">
        <v>2650</v>
      </c>
      <c r="L1380" s="76" t="s">
        <v>411</v>
      </c>
      <c r="M1380" s="76" t="s">
        <v>412</v>
      </c>
      <c r="N1380" s="76">
        <v>1000</v>
      </c>
      <c r="O1380" s="76">
        <v>980</v>
      </c>
      <c r="P1380" s="78">
        <v>0.02</v>
      </c>
    </row>
    <row r="1381" spans="7:16" x14ac:dyDescent="0.3">
      <c r="G1381" t="s">
        <v>2891</v>
      </c>
      <c r="H1381" s="76" t="s">
        <v>382</v>
      </c>
      <c r="I1381" s="76" t="s">
        <v>383</v>
      </c>
      <c r="J1381" s="76" t="s">
        <v>384</v>
      </c>
      <c r="K1381" s="77">
        <v>43197</v>
      </c>
      <c r="L1381" s="76" t="s">
        <v>424</v>
      </c>
      <c r="M1381" s="76" t="s">
        <v>427</v>
      </c>
      <c r="N1381" s="76">
        <v>500</v>
      </c>
      <c r="O1381" s="76">
        <v>495</v>
      </c>
      <c r="P1381" s="78">
        <v>0.01</v>
      </c>
    </row>
    <row r="1382" spans="7:16" x14ac:dyDescent="0.3">
      <c r="G1382" t="s">
        <v>2892</v>
      </c>
      <c r="H1382" s="76" t="s">
        <v>382</v>
      </c>
      <c r="I1382" s="76" t="s">
        <v>383</v>
      </c>
      <c r="J1382" s="76" t="s">
        <v>384</v>
      </c>
      <c r="K1382" s="76" t="s">
        <v>889</v>
      </c>
      <c r="L1382" s="76" t="s">
        <v>373</v>
      </c>
      <c r="M1382" s="76" t="s">
        <v>533</v>
      </c>
      <c r="N1382" s="76">
        <v>700</v>
      </c>
      <c r="O1382" s="76">
        <v>546</v>
      </c>
      <c r="P1382" s="78">
        <v>0.22</v>
      </c>
    </row>
    <row r="1383" spans="7:16" x14ac:dyDescent="0.3">
      <c r="G1383" t="s">
        <v>2893</v>
      </c>
      <c r="H1383" s="76" t="s">
        <v>434</v>
      </c>
      <c r="I1383" s="76" t="s">
        <v>435</v>
      </c>
      <c r="J1383" s="76" t="s">
        <v>360</v>
      </c>
      <c r="K1383" s="76" t="s">
        <v>2810</v>
      </c>
      <c r="L1383" s="76" t="s">
        <v>373</v>
      </c>
      <c r="M1383" s="76" t="s">
        <v>1464</v>
      </c>
      <c r="N1383" s="76">
        <v>700</v>
      </c>
      <c r="O1383" s="76">
        <v>693</v>
      </c>
      <c r="P1383" s="78">
        <v>0.01</v>
      </c>
    </row>
    <row r="1384" spans="7:16" x14ac:dyDescent="0.3">
      <c r="G1384" t="s">
        <v>2894</v>
      </c>
      <c r="H1384" s="76" t="s">
        <v>497</v>
      </c>
      <c r="I1384" s="76" t="s">
        <v>445</v>
      </c>
      <c r="J1384" s="76" t="s">
        <v>384</v>
      </c>
      <c r="K1384" s="76" t="s">
        <v>2895</v>
      </c>
      <c r="L1384" s="76" t="s">
        <v>385</v>
      </c>
      <c r="M1384" s="76" t="s">
        <v>1220</v>
      </c>
      <c r="N1384" s="76">
        <v>50</v>
      </c>
      <c r="O1384" s="76">
        <v>45</v>
      </c>
      <c r="P1384" s="78">
        <v>0.1</v>
      </c>
    </row>
    <row r="1385" spans="7:16" x14ac:dyDescent="0.3">
      <c r="G1385" t="s">
        <v>2896</v>
      </c>
      <c r="H1385" s="76" t="s">
        <v>459</v>
      </c>
      <c r="I1385" s="76" t="s">
        <v>422</v>
      </c>
      <c r="J1385" s="76" t="s">
        <v>384</v>
      </c>
      <c r="K1385" s="77">
        <v>42684</v>
      </c>
      <c r="L1385" s="76" t="s">
        <v>373</v>
      </c>
      <c r="M1385" s="76" t="s">
        <v>1106</v>
      </c>
      <c r="N1385" s="76">
        <v>700</v>
      </c>
      <c r="O1385" s="76">
        <v>595</v>
      </c>
      <c r="P1385" s="78">
        <v>0.15</v>
      </c>
    </row>
    <row r="1386" spans="7:16" x14ac:dyDescent="0.3">
      <c r="G1386" t="s">
        <v>2897</v>
      </c>
      <c r="H1386" s="76" t="s">
        <v>845</v>
      </c>
      <c r="I1386" s="76" t="s">
        <v>846</v>
      </c>
      <c r="J1386" s="76" t="s">
        <v>360</v>
      </c>
      <c r="K1386" s="76" t="s">
        <v>2871</v>
      </c>
      <c r="L1386" s="76" t="s">
        <v>391</v>
      </c>
      <c r="M1386" s="76" t="s">
        <v>1240</v>
      </c>
      <c r="N1386" s="76">
        <v>30</v>
      </c>
      <c r="O1386" s="76">
        <v>29</v>
      </c>
      <c r="P1386" s="78">
        <v>3.3300000000000003E-2</v>
      </c>
    </row>
    <row r="1387" spans="7:16" x14ac:dyDescent="0.3">
      <c r="G1387" t="s">
        <v>2898</v>
      </c>
      <c r="H1387" s="76" t="s">
        <v>514</v>
      </c>
      <c r="I1387" s="76" t="s">
        <v>515</v>
      </c>
      <c r="J1387" s="76" t="s">
        <v>360</v>
      </c>
      <c r="K1387" s="76" t="s">
        <v>2899</v>
      </c>
      <c r="L1387" s="76" t="s">
        <v>391</v>
      </c>
      <c r="M1387" s="76" t="s">
        <v>1658</v>
      </c>
      <c r="N1387" s="76">
        <v>30</v>
      </c>
      <c r="O1387" s="76">
        <v>30</v>
      </c>
      <c r="P1387" s="78">
        <v>0</v>
      </c>
    </row>
    <row r="1388" spans="7:16" x14ac:dyDescent="0.3">
      <c r="G1388" t="s">
        <v>2900</v>
      </c>
      <c r="H1388" s="76" t="s">
        <v>421</v>
      </c>
      <c r="I1388" s="76" t="s">
        <v>422</v>
      </c>
      <c r="J1388" s="76" t="s">
        <v>384</v>
      </c>
      <c r="K1388" s="76" t="s">
        <v>2901</v>
      </c>
      <c r="L1388" s="76" t="s">
        <v>391</v>
      </c>
      <c r="M1388" s="76" t="s">
        <v>1596</v>
      </c>
      <c r="N1388" s="76">
        <v>30</v>
      </c>
      <c r="O1388" s="76">
        <v>23</v>
      </c>
      <c r="P1388" s="78">
        <v>0.23330000000000001</v>
      </c>
    </row>
    <row r="1389" spans="7:16" x14ac:dyDescent="0.3">
      <c r="G1389" t="s">
        <v>2902</v>
      </c>
      <c r="H1389" s="76" t="s">
        <v>656</v>
      </c>
      <c r="I1389" s="76" t="s">
        <v>657</v>
      </c>
      <c r="J1389" s="76" t="s">
        <v>360</v>
      </c>
      <c r="K1389" s="76" t="s">
        <v>538</v>
      </c>
      <c r="L1389" s="76" t="s">
        <v>361</v>
      </c>
      <c r="M1389" s="76" t="s">
        <v>813</v>
      </c>
      <c r="N1389" s="76">
        <v>80</v>
      </c>
      <c r="O1389" s="76">
        <v>73</v>
      </c>
      <c r="P1389" s="78">
        <v>8.7499999999999994E-2</v>
      </c>
    </row>
    <row r="1390" spans="7:16" x14ac:dyDescent="0.3">
      <c r="G1390" t="s">
        <v>2903</v>
      </c>
      <c r="H1390" s="76" t="s">
        <v>551</v>
      </c>
      <c r="I1390" s="76" t="s">
        <v>552</v>
      </c>
      <c r="J1390" s="76" t="s">
        <v>360</v>
      </c>
      <c r="K1390" s="77">
        <v>42281</v>
      </c>
      <c r="L1390" s="76" t="s">
        <v>411</v>
      </c>
      <c r="M1390" s="76" t="s">
        <v>2021</v>
      </c>
      <c r="N1390" s="76">
        <v>1000</v>
      </c>
      <c r="O1390" s="76">
        <v>980</v>
      </c>
      <c r="P1390" s="78">
        <v>0.02</v>
      </c>
    </row>
    <row r="1391" spans="7:16" x14ac:dyDescent="0.3">
      <c r="G1391" t="s">
        <v>2904</v>
      </c>
      <c r="H1391" s="76" t="s">
        <v>473</v>
      </c>
      <c r="I1391" s="76" t="s">
        <v>404</v>
      </c>
      <c r="J1391" s="76" t="s">
        <v>360</v>
      </c>
      <c r="K1391" s="77">
        <v>43071</v>
      </c>
      <c r="L1391" s="76" t="s">
        <v>379</v>
      </c>
      <c r="M1391" s="76" t="s">
        <v>2905</v>
      </c>
      <c r="N1391" s="76">
        <v>150</v>
      </c>
      <c r="O1391" s="76">
        <v>150</v>
      </c>
      <c r="P1391" s="78">
        <v>0</v>
      </c>
    </row>
    <row r="1392" spans="7:16" x14ac:dyDescent="0.3">
      <c r="G1392" t="s">
        <v>2906</v>
      </c>
      <c r="H1392" s="76" t="s">
        <v>444</v>
      </c>
      <c r="I1392" s="76" t="s">
        <v>445</v>
      </c>
      <c r="J1392" s="76" t="s">
        <v>384</v>
      </c>
      <c r="K1392" s="76" t="s">
        <v>925</v>
      </c>
      <c r="L1392" s="76" t="s">
        <v>461</v>
      </c>
      <c r="M1392" s="76" t="s">
        <v>695</v>
      </c>
      <c r="N1392" s="76">
        <v>70</v>
      </c>
      <c r="O1392" s="76">
        <v>32</v>
      </c>
      <c r="P1392" s="78">
        <v>0.54290000000000005</v>
      </c>
    </row>
    <row r="1393" spans="7:16" x14ac:dyDescent="0.3">
      <c r="G1393" t="s">
        <v>2907</v>
      </c>
      <c r="H1393" s="76" t="s">
        <v>566</v>
      </c>
      <c r="I1393" s="76" t="s">
        <v>567</v>
      </c>
      <c r="J1393" s="76" t="s">
        <v>360</v>
      </c>
      <c r="K1393" s="77">
        <v>43046</v>
      </c>
      <c r="L1393" s="76" t="s">
        <v>373</v>
      </c>
      <c r="M1393" s="76" t="s">
        <v>633</v>
      </c>
      <c r="N1393" s="76">
        <v>700</v>
      </c>
      <c r="O1393" s="76">
        <v>700</v>
      </c>
      <c r="P1393" s="78">
        <v>0</v>
      </c>
    </row>
    <row r="1394" spans="7:16" x14ac:dyDescent="0.3">
      <c r="G1394" t="s">
        <v>2908</v>
      </c>
      <c r="H1394" s="76" t="s">
        <v>454</v>
      </c>
      <c r="I1394" s="76" t="s">
        <v>455</v>
      </c>
      <c r="J1394" s="76" t="s">
        <v>360</v>
      </c>
      <c r="K1394" s="76" t="s">
        <v>768</v>
      </c>
      <c r="L1394" s="76" t="s">
        <v>391</v>
      </c>
      <c r="M1394" s="76" t="s">
        <v>1874</v>
      </c>
      <c r="N1394" s="76">
        <v>30</v>
      </c>
      <c r="O1394" s="76">
        <v>26</v>
      </c>
      <c r="P1394" s="78">
        <v>0.1333</v>
      </c>
    </row>
    <row r="1395" spans="7:16" x14ac:dyDescent="0.3">
      <c r="G1395" t="s">
        <v>2909</v>
      </c>
      <c r="H1395" s="76" t="s">
        <v>382</v>
      </c>
      <c r="I1395" s="76" t="s">
        <v>383</v>
      </c>
      <c r="J1395" s="76" t="s">
        <v>384</v>
      </c>
      <c r="K1395" s="76" t="s">
        <v>2910</v>
      </c>
      <c r="L1395" s="76" t="s">
        <v>405</v>
      </c>
      <c r="M1395" s="76" t="s">
        <v>580</v>
      </c>
      <c r="N1395" s="76">
        <v>800</v>
      </c>
      <c r="O1395" s="76">
        <v>624</v>
      </c>
      <c r="P1395" s="78">
        <v>0.22</v>
      </c>
    </row>
    <row r="1396" spans="7:16" x14ac:dyDescent="0.3">
      <c r="G1396" t="s">
        <v>2911</v>
      </c>
      <c r="H1396" s="76" t="s">
        <v>494</v>
      </c>
      <c r="I1396" s="76" t="s">
        <v>465</v>
      </c>
      <c r="J1396" s="76" t="s">
        <v>366</v>
      </c>
      <c r="K1396" s="76" t="s">
        <v>2912</v>
      </c>
      <c r="L1396" s="76" t="s">
        <v>405</v>
      </c>
      <c r="M1396" s="76" t="s">
        <v>1373</v>
      </c>
      <c r="N1396" s="76">
        <v>800</v>
      </c>
      <c r="O1396" s="76">
        <v>560</v>
      </c>
      <c r="P1396" s="78">
        <v>0.3</v>
      </c>
    </row>
    <row r="1397" spans="7:16" x14ac:dyDescent="0.3">
      <c r="G1397" t="s">
        <v>2913</v>
      </c>
      <c r="H1397" s="76" t="s">
        <v>547</v>
      </c>
      <c r="I1397" s="76" t="s">
        <v>548</v>
      </c>
      <c r="J1397" s="76" t="s">
        <v>360</v>
      </c>
      <c r="K1397" s="76" t="s">
        <v>2132</v>
      </c>
      <c r="L1397" s="76" t="s">
        <v>411</v>
      </c>
      <c r="M1397" s="76" t="s">
        <v>861</v>
      </c>
      <c r="N1397" s="76">
        <v>1000</v>
      </c>
      <c r="O1397" s="76">
        <v>970</v>
      </c>
      <c r="P1397" s="78">
        <v>0.03</v>
      </c>
    </row>
    <row r="1398" spans="7:16" x14ac:dyDescent="0.3">
      <c r="G1398" t="s">
        <v>2914</v>
      </c>
      <c r="H1398" s="76" t="s">
        <v>370</v>
      </c>
      <c r="I1398" s="76" t="s">
        <v>371</v>
      </c>
      <c r="J1398" s="76" t="s">
        <v>372</v>
      </c>
      <c r="K1398" s="77">
        <v>42036</v>
      </c>
      <c r="L1398" s="76" t="s">
        <v>361</v>
      </c>
      <c r="M1398" s="76" t="s">
        <v>1146</v>
      </c>
      <c r="N1398" s="76">
        <v>80</v>
      </c>
      <c r="O1398" s="76">
        <v>70</v>
      </c>
      <c r="P1398" s="78">
        <v>0.125</v>
      </c>
    </row>
    <row r="1399" spans="7:16" x14ac:dyDescent="0.3">
      <c r="G1399" t="s">
        <v>2915</v>
      </c>
      <c r="H1399" s="76" t="s">
        <v>421</v>
      </c>
      <c r="I1399" s="76" t="s">
        <v>422</v>
      </c>
      <c r="J1399" s="76" t="s">
        <v>384</v>
      </c>
      <c r="K1399" s="76" t="s">
        <v>2916</v>
      </c>
      <c r="L1399" s="76" t="s">
        <v>405</v>
      </c>
      <c r="M1399" s="76" t="s">
        <v>425</v>
      </c>
      <c r="N1399" s="76">
        <v>800</v>
      </c>
      <c r="O1399" s="76">
        <v>480</v>
      </c>
      <c r="P1399" s="78">
        <v>0.4</v>
      </c>
    </row>
    <row r="1400" spans="7:16" x14ac:dyDescent="0.3">
      <c r="G1400" t="s">
        <v>2917</v>
      </c>
      <c r="H1400" s="76" t="s">
        <v>473</v>
      </c>
      <c r="I1400" s="76" t="s">
        <v>404</v>
      </c>
      <c r="J1400" s="76" t="s">
        <v>360</v>
      </c>
      <c r="K1400" s="76" t="s">
        <v>2918</v>
      </c>
      <c r="L1400" s="76" t="s">
        <v>396</v>
      </c>
      <c r="M1400" s="76" t="s">
        <v>545</v>
      </c>
      <c r="N1400" s="76">
        <v>500</v>
      </c>
      <c r="O1400" s="76">
        <v>455</v>
      </c>
      <c r="P1400" s="78">
        <v>0.09</v>
      </c>
    </row>
    <row r="1401" spans="7:16" x14ac:dyDescent="0.3">
      <c r="G1401" t="s">
        <v>2919</v>
      </c>
      <c r="H1401" s="76" t="s">
        <v>497</v>
      </c>
      <c r="I1401" s="76" t="s">
        <v>445</v>
      </c>
      <c r="J1401" s="76" t="s">
        <v>384</v>
      </c>
      <c r="K1401" s="77">
        <v>43020</v>
      </c>
      <c r="L1401" s="76" t="s">
        <v>461</v>
      </c>
      <c r="M1401" s="76" t="s">
        <v>1392</v>
      </c>
      <c r="N1401" s="76">
        <v>70</v>
      </c>
      <c r="O1401" s="76">
        <v>69</v>
      </c>
      <c r="P1401" s="78">
        <v>1.43E-2</v>
      </c>
    </row>
    <row r="1402" spans="7:16" x14ac:dyDescent="0.3">
      <c r="G1402" t="s">
        <v>2920</v>
      </c>
      <c r="H1402" s="76" t="s">
        <v>382</v>
      </c>
      <c r="I1402" s="76" t="s">
        <v>383</v>
      </c>
      <c r="J1402" s="76" t="s">
        <v>384</v>
      </c>
      <c r="K1402" s="77">
        <v>42834</v>
      </c>
      <c r="L1402" s="76" t="s">
        <v>461</v>
      </c>
      <c r="M1402" s="76" t="s">
        <v>580</v>
      </c>
      <c r="N1402" s="76">
        <v>70</v>
      </c>
      <c r="O1402" s="76">
        <v>63</v>
      </c>
      <c r="P1402" s="78">
        <v>0.1</v>
      </c>
    </row>
    <row r="1403" spans="7:16" x14ac:dyDescent="0.3">
      <c r="G1403" t="s">
        <v>2921</v>
      </c>
      <c r="H1403" s="76" t="s">
        <v>566</v>
      </c>
      <c r="I1403" s="76" t="s">
        <v>567</v>
      </c>
      <c r="J1403" s="76" t="s">
        <v>360</v>
      </c>
      <c r="K1403" s="76" t="s">
        <v>2158</v>
      </c>
      <c r="L1403" s="76" t="s">
        <v>385</v>
      </c>
      <c r="M1403" s="76" t="s">
        <v>1302</v>
      </c>
      <c r="N1403" s="76">
        <v>50</v>
      </c>
      <c r="O1403" s="76">
        <v>38</v>
      </c>
      <c r="P1403" s="78">
        <v>0.24</v>
      </c>
    </row>
    <row r="1404" spans="7:16" x14ac:dyDescent="0.3">
      <c r="G1404" t="s">
        <v>2922</v>
      </c>
      <c r="H1404" s="76" t="s">
        <v>514</v>
      </c>
      <c r="I1404" s="76" t="s">
        <v>515</v>
      </c>
      <c r="J1404" s="76" t="s">
        <v>360</v>
      </c>
      <c r="K1404" s="77">
        <v>42224</v>
      </c>
      <c r="L1404" s="76" t="s">
        <v>475</v>
      </c>
      <c r="M1404" s="76" t="s">
        <v>1424</v>
      </c>
      <c r="N1404" s="76">
        <v>250</v>
      </c>
      <c r="O1404" s="76">
        <v>200</v>
      </c>
      <c r="P1404" s="78">
        <v>0.2</v>
      </c>
    </row>
    <row r="1405" spans="7:16" x14ac:dyDescent="0.3">
      <c r="G1405" t="s">
        <v>2923</v>
      </c>
      <c r="H1405" s="76" t="s">
        <v>444</v>
      </c>
      <c r="I1405" s="76" t="s">
        <v>445</v>
      </c>
      <c r="J1405" s="76" t="s">
        <v>384</v>
      </c>
      <c r="K1405" s="76" t="s">
        <v>2924</v>
      </c>
      <c r="L1405" s="76" t="s">
        <v>461</v>
      </c>
      <c r="M1405" s="76" t="s">
        <v>1854</v>
      </c>
      <c r="N1405" s="76">
        <v>70</v>
      </c>
      <c r="O1405" s="76">
        <v>69</v>
      </c>
      <c r="P1405" s="78">
        <v>1.43E-2</v>
      </c>
    </row>
    <row r="1406" spans="7:16" x14ac:dyDescent="0.3">
      <c r="G1406" t="s">
        <v>2925</v>
      </c>
      <c r="H1406" s="76" t="s">
        <v>399</v>
      </c>
      <c r="I1406" s="76" t="s">
        <v>400</v>
      </c>
      <c r="J1406" s="76" t="s">
        <v>372</v>
      </c>
      <c r="K1406" s="76" t="s">
        <v>927</v>
      </c>
      <c r="L1406" s="76" t="s">
        <v>391</v>
      </c>
      <c r="M1406" s="76" t="s">
        <v>1194</v>
      </c>
      <c r="N1406" s="76">
        <v>30</v>
      </c>
      <c r="O1406" s="76">
        <v>26</v>
      </c>
      <c r="P1406" s="78">
        <v>0.1333</v>
      </c>
    </row>
    <row r="1407" spans="7:16" x14ac:dyDescent="0.3">
      <c r="G1407" t="s">
        <v>2926</v>
      </c>
      <c r="H1407" s="76" t="s">
        <v>358</v>
      </c>
      <c r="I1407" s="76" t="s">
        <v>359</v>
      </c>
      <c r="J1407" s="76" t="s">
        <v>360</v>
      </c>
      <c r="K1407" s="77">
        <v>42282</v>
      </c>
      <c r="L1407" s="76" t="s">
        <v>391</v>
      </c>
      <c r="M1407" s="76" t="s">
        <v>575</v>
      </c>
      <c r="N1407" s="76">
        <v>30</v>
      </c>
      <c r="O1407" s="76">
        <v>30</v>
      </c>
      <c r="P1407" s="78">
        <v>0</v>
      </c>
    </row>
    <row r="1408" spans="7:16" x14ac:dyDescent="0.3">
      <c r="G1408" t="s">
        <v>2927</v>
      </c>
      <c r="H1408" s="76" t="s">
        <v>449</v>
      </c>
      <c r="I1408" s="76" t="s">
        <v>450</v>
      </c>
      <c r="J1408" s="76" t="s">
        <v>360</v>
      </c>
      <c r="K1408" s="76" t="s">
        <v>2407</v>
      </c>
      <c r="L1408" s="76" t="s">
        <v>483</v>
      </c>
      <c r="M1408" s="76" t="s">
        <v>759</v>
      </c>
      <c r="N1408" s="76">
        <v>50</v>
      </c>
      <c r="O1408" s="76">
        <v>46</v>
      </c>
      <c r="P1408" s="78">
        <v>0.08</v>
      </c>
    </row>
    <row r="1409" spans="7:16" x14ac:dyDescent="0.3">
      <c r="G1409" t="s">
        <v>2928</v>
      </c>
      <c r="H1409" s="76" t="s">
        <v>566</v>
      </c>
      <c r="I1409" s="76" t="s">
        <v>567</v>
      </c>
      <c r="J1409" s="76" t="s">
        <v>360</v>
      </c>
      <c r="K1409" s="77">
        <v>42407</v>
      </c>
      <c r="L1409" s="76" t="s">
        <v>424</v>
      </c>
      <c r="M1409" s="76" t="s">
        <v>633</v>
      </c>
      <c r="N1409" s="76">
        <v>500</v>
      </c>
      <c r="O1409" s="76">
        <v>500</v>
      </c>
      <c r="P1409" s="78">
        <v>0</v>
      </c>
    </row>
    <row r="1410" spans="7:16" x14ac:dyDescent="0.3">
      <c r="G1410" t="s">
        <v>2929</v>
      </c>
      <c r="H1410" s="76" t="s">
        <v>551</v>
      </c>
      <c r="I1410" s="76" t="s">
        <v>552</v>
      </c>
      <c r="J1410" s="76" t="s">
        <v>360</v>
      </c>
      <c r="K1410" s="77">
        <v>42522</v>
      </c>
      <c r="L1410" s="76" t="s">
        <v>373</v>
      </c>
      <c r="M1410" s="76" t="s">
        <v>2389</v>
      </c>
      <c r="N1410" s="76">
        <v>700</v>
      </c>
      <c r="O1410" s="76">
        <v>679</v>
      </c>
      <c r="P1410" s="78">
        <v>0.03</v>
      </c>
    </row>
    <row r="1411" spans="7:16" x14ac:dyDescent="0.3">
      <c r="G1411" t="s">
        <v>2930</v>
      </c>
      <c r="H1411" s="76" t="s">
        <v>454</v>
      </c>
      <c r="I1411" s="76" t="s">
        <v>455</v>
      </c>
      <c r="J1411" s="76" t="s">
        <v>360</v>
      </c>
      <c r="K1411" s="76" t="s">
        <v>2501</v>
      </c>
      <c r="L1411" s="76" t="s">
        <v>373</v>
      </c>
      <c r="M1411" s="76" t="s">
        <v>1874</v>
      </c>
      <c r="N1411" s="76">
        <v>700</v>
      </c>
      <c r="O1411" s="76">
        <v>630</v>
      </c>
      <c r="P1411" s="78">
        <v>0.1</v>
      </c>
    </row>
    <row r="1412" spans="7:16" x14ac:dyDescent="0.3">
      <c r="G1412" t="s">
        <v>2931</v>
      </c>
      <c r="H1412" s="76" t="s">
        <v>364</v>
      </c>
      <c r="I1412" s="76" t="s">
        <v>365</v>
      </c>
      <c r="J1412" s="76" t="s">
        <v>366</v>
      </c>
      <c r="K1412" s="76" t="s">
        <v>1189</v>
      </c>
      <c r="L1412" s="76" t="s">
        <v>461</v>
      </c>
      <c r="M1412" s="76" t="s">
        <v>973</v>
      </c>
      <c r="N1412" s="76">
        <v>70</v>
      </c>
      <c r="O1412" s="76">
        <v>65</v>
      </c>
      <c r="P1412" s="78">
        <v>7.1400000000000005E-2</v>
      </c>
    </row>
    <row r="1413" spans="7:16" x14ac:dyDescent="0.3">
      <c r="G1413" t="s">
        <v>2932</v>
      </c>
      <c r="H1413" s="76" t="s">
        <v>421</v>
      </c>
      <c r="I1413" s="76" t="s">
        <v>422</v>
      </c>
      <c r="J1413" s="76" t="s">
        <v>384</v>
      </c>
      <c r="K1413" s="77">
        <v>41985</v>
      </c>
      <c r="L1413" s="76" t="s">
        <v>424</v>
      </c>
      <c r="M1413" s="76" t="s">
        <v>1596</v>
      </c>
      <c r="N1413" s="76">
        <v>500</v>
      </c>
      <c r="O1413" s="76">
        <v>500</v>
      </c>
      <c r="P1413" s="78">
        <v>0</v>
      </c>
    </row>
    <row r="1414" spans="7:16" x14ac:dyDescent="0.3">
      <c r="G1414" t="s">
        <v>2933</v>
      </c>
      <c r="H1414" s="76" t="s">
        <v>845</v>
      </c>
      <c r="I1414" s="76" t="s">
        <v>846</v>
      </c>
      <c r="J1414" s="76" t="s">
        <v>360</v>
      </c>
      <c r="K1414" s="77">
        <v>41953</v>
      </c>
      <c r="L1414" s="76" t="s">
        <v>475</v>
      </c>
      <c r="M1414" s="76" t="s">
        <v>1457</v>
      </c>
      <c r="N1414" s="76">
        <v>250</v>
      </c>
      <c r="O1414" s="76">
        <v>200</v>
      </c>
      <c r="P1414" s="78">
        <v>0.2</v>
      </c>
    </row>
    <row r="1415" spans="7:16" x14ac:dyDescent="0.3">
      <c r="G1415" t="s">
        <v>2934</v>
      </c>
      <c r="H1415" s="76" t="s">
        <v>489</v>
      </c>
      <c r="I1415" s="76" t="s">
        <v>490</v>
      </c>
      <c r="J1415" s="76" t="s">
        <v>360</v>
      </c>
      <c r="K1415" s="77">
        <v>42255</v>
      </c>
      <c r="L1415" s="76" t="s">
        <v>424</v>
      </c>
      <c r="M1415" s="76" t="s">
        <v>1998</v>
      </c>
      <c r="N1415" s="76">
        <v>500</v>
      </c>
      <c r="O1415" s="76">
        <v>490</v>
      </c>
      <c r="P1415" s="78">
        <v>0.02</v>
      </c>
    </row>
    <row r="1416" spans="7:16" x14ac:dyDescent="0.3">
      <c r="G1416" t="s">
        <v>2935</v>
      </c>
      <c r="H1416" s="76" t="s">
        <v>619</v>
      </c>
      <c r="I1416" s="76" t="s">
        <v>620</v>
      </c>
      <c r="J1416" s="76" t="s">
        <v>372</v>
      </c>
      <c r="K1416" s="76" t="s">
        <v>2936</v>
      </c>
      <c r="L1416" s="76" t="s">
        <v>391</v>
      </c>
      <c r="M1416" s="76" t="s">
        <v>685</v>
      </c>
      <c r="N1416" s="76">
        <v>30</v>
      </c>
      <c r="O1416" s="76">
        <v>30</v>
      </c>
      <c r="P1416" s="78">
        <v>0</v>
      </c>
    </row>
    <row r="1417" spans="7:16" x14ac:dyDescent="0.3">
      <c r="G1417" t="s">
        <v>2937</v>
      </c>
      <c r="H1417" s="76" t="s">
        <v>464</v>
      </c>
      <c r="I1417" s="76" t="s">
        <v>465</v>
      </c>
      <c r="J1417" s="76" t="s">
        <v>366</v>
      </c>
      <c r="K1417" s="76" t="s">
        <v>2938</v>
      </c>
      <c r="L1417" s="76" t="s">
        <v>461</v>
      </c>
      <c r="M1417" s="76" t="s">
        <v>2230</v>
      </c>
      <c r="N1417" s="76">
        <v>70</v>
      </c>
      <c r="O1417" s="76">
        <v>55</v>
      </c>
      <c r="P1417" s="78">
        <v>0.21429999999999999</v>
      </c>
    </row>
    <row r="1418" spans="7:16" x14ac:dyDescent="0.3">
      <c r="G1418" t="s">
        <v>2939</v>
      </c>
      <c r="H1418" s="76" t="s">
        <v>519</v>
      </c>
      <c r="I1418" s="76" t="s">
        <v>520</v>
      </c>
      <c r="J1418" s="76" t="s">
        <v>360</v>
      </c>
      <c r="K1418" s="76" t="s">
        <v>2940</v>
      </c>
      <c r="L1418" s="76" t="s">
        <v>483</v>
      </c>
      <c r="M1418" s="76" t="s">
        <v>1416</v>
      </c>
      <c r="N1418" s="76">
        <v>50</v>
      </c>
      <c r="O1418" s="76">
        <v>42</v>
      </c>
      <c r="P1418" s="78">
        <v>0.16</v>
      </c>
    </row>
    <row r="1419" spans="7:16" x14ac:dyDescent="0.3">
      <c r="G1419" t="s">
        <v>2941</v>
      </c>
      <c r="H1419" s="76" t="s">
        <v>497</v>
      </c>
      <c r="I1419" s="76" t="s">
        <v>445</v>
      </c>
      <c r="J1419" s="76" t="s">
        <v>384</v>
      </c>
      <c r="K1419" s="77">
        <v>41740</v>
      </c>
      <c r="L1419" s="76" t="s">
        <v>391</v>
      </c>
      <c r="M1419" s="76" t="s">
        <v>1675</v>
      </c>
      <c r="N1419" s="76">
        <v>30</v>
      </c>
      <c r="O1419" s="76">
        <v>26</v>
      </c>
      <c r="P1419" s="78">
        <v>0.1333</v>
      </c>
    </row>
    <row r="1420" spans="7:16" x14ac:dyDescent="0.3">
      <c r="G1420" t="s">
        <v>2942</v>
      </c>
      <c r="H1420" s="76" t="s">
        <v>638</v>
      </c>
      <c r="I1420" s="76" t="s">
        <v>639</v>
      </c>
      <c r="J1420" s="76" t="s">
        <v>360</v>
      </c>
      <c r="K1420" s="77">
        <v>41887</v>
      </c>
      <c r="L1420" s="76" t="s">
        <v>461</v>
      </c>
      <c r="M1420" s="76" t="s">
        <v>757</v>
      </c>
      <c r="N1420" s="76">
        <v>70</v>
      </c>
      <c r="O1420" s="76">
        <v>53</v>
      </c>
      <c r="P1420" s="78">
        <v>0.2429</v>
      </c>
    </row>
    <row r="1421" spans="7:16" x14ac:dyDescent="0.3">
      <c r="G1421" t="s">
        <v>2943</v>
      </c>
      <c r="H1421" s="76" t="s">
        <v>409</v>
      </c>
      <c r="I1421" s="76" t="s">
        <v>410</v>
      </c>
      <c r="J1421" s="76" t="s">
        <v>360</v>
      </c>
      <c r="K1421" s="76" t="s">
        <v>2944</v>
      </c>
      <c r="L1421" s="76" t="s">
        <v>424</v>
      </c>
      <c r="M1421" s="76" t="s">
        <v>412</v>
      </c>
      <c r="N1421" s="76">
        <v>500</v>
      </c>
      <c r="O1421" s="76">
        <v>490</v>
      </c>
      <c r="P1421" s="78">
        <v>0.02</v>
      </c>
    </row>
    <row r="1422" spans="7:16" x14ac:dyDescent="0.3">
      <c r="G1422" t="s">
        <v>2945</v>
      </c>
      <c r="H1422" s="76" t="s">
        <v>547</v>
      </c>
      <c r="I1422" s="76" t="s">
        <v>548</v>
      </c>
      <c r="J1422" s="76" t="s">
        <v>360</v>
      </c>
      <c r="K1422" s="76" t="s">
        <v>1369</v>
      </c>
      <c r="L1422" s="76" t="s">
        <v>391</v>
      </c>
      <c r="M1422" s="76" t="s">
        <v>549</v>
      </c>
      <c r="N1422" s="76">
        <v>30</v>
      </c>
      <c r="O1422" s="76">
        <v>26</v>
      </c>
      <c r="P1422" s="78">
        <v>0.1333</v>
      </c>
    </row>
    <row r="1423" spans="7:16" x14ac:dyDescent="0.3">
      <c r="G1423" t="s">
        <v>2946</v>
      </c>
      <c r="H1423" s="76" t="s">
        <v>675</v>
      </c>
      <c r="I1423" s="76" t="s">
        <v>676</v>
      </c>
      <c r="J1423" s="76" t="s">
        <v>384</v>
      </c>
      <c r="K1423" s="77">
        <v>42126</v>
      </c>
      <c r="L1423" s="76" t="s">
        <v>361</v>
      </c>
      <c r="M1423" s="76" t="s">
        <v>1266</v>
      </c>
      <c r="N1423" s="76">
        <v>80</v>
      </c>
      <c r="O1423" s="76">
        <v>53</v>
      </c>
      <c r="P1423" s="78">
        <v>0.33750000000000002</v>
      </c>
    </row>
    <row r="1424" spans="7:16" x14ac:dyDescent="0.3">
      <c r="G1424" t="s">
        <v>2947</v>
      </c>
      <c r="H1424" s="76" t="s">
        <v>891</v>
      </c>
      <c r="I1424" s="76" t="s">
        <v>892</v>
      </c>
      <c r="J1424" s="76" t="s">
        <v>372</v>
      </c>
      <c r="K1424" s="76" t="s">
        <v>1391</v>
      </c>
      <c r="L1424" s="76" t="s">
        <v>405</v>
      </c>
      <c r="M1424" s="76" t="s">
        <v>1046</v>
      </c>
      <c r="N1424" s="76">
        <v>800</v>
      </c>
      <c r="O1424" s="76">
        <v>616</v>
      </c>
      <c r="P1424" s="78">
        <v>0.23</v>
      </c>
    </row>
    <row r="1425" spans="7:16" x14ac:dyDescent="0.3">
      <c r="G1425" t="s">
        <v>2948</v>
      </c>
      <c r="H1425" s="76" t="s">
        <v>364</v>
      </c>
      <c r="I1425" s="76" t="s">
        <v>365</v>
      </c>
      <c r="J1425" s="76" t="s">
        <v>366</v>
      </c>
      <c r="K1425" s="76" t="s">
        <v>1306</v>
      </c>
      <c r="L1425" s="76" t="s">
        <v>475</v>
      </c>
      <c r="M1425" s="76" t="s">
        <v>952</v>
      </c>
      <c r="N1425" s="76">
        <v>250</v>
      </c>
      <c r="O1425" s="76">
        <v>225</v>
      </c>
      <c r="P1425" s="78">
        <v>0.1</v>
      </c>
    </row>
    <row r="1426" spans="7:16" x14ac:dyDescent="0.3">
      <c r="G1426" t="s">
        <v>2949</v>
      </c>
      <c r="H1426" s="76" t="s">
        <v>891</v>
      </c>
      <c r="I1426" s="76" t="s">
        <v>892</v>
      </c>
      <c r="J1426" s="76" t="s">
        <v>372</v>
      </c>
      <c r="K1426" s="77">
        <v>42006</v>
      </c>
      <c r="L1426" s="76" t="s">
        <v>475</v>
      </c>
      <c r="M1426" s="76" t="s">
        <v>1459</v>
      </c>
      <c r="N1426" s="76">
        <v>250</v>
      </c>
      <c r="O1426" s="76">
        <v>215</v>
      </c>
      <c r="P1426" s="78">
        <v>0.14000000000000001</v>
      </c>
    </row>
    <row r="1427" spans="7:16" x14ac:dyDescent="0.3">
      <c r="G1427" t="s">
        <v>2950</v>
      </c>
      <c r="H1427" s="76" t="s">
        <v>388</v>
      </c>
      <c r="I1427" s="76" t="s">
        <v>389</v>
      </c>
      <c r="J1427" s="76" t="s">
        <v>384</v>
      </c>
      <c r="K1427" s="77">
        <v>41681</v>
      </c>
      <c r="L1427" s="76" t="s">
        <v>405</v>
      </c>
      <c r="M1427" s="76" t="s">
        <v>2036</v>
      </c>
      <c r="N1427" s="76">
        <v>800</v>
      </c>
      <c r="O1427" s="76">
        <v>712</v>
      </c>
      <c r="P1427" s="78">
        <v>0.11</v>
      </c>
    </row>
    <row r="1428" spans="7:16" x14ac:dyDescent="0.3">
      <c r="G1428" t="s">
        <v>2951</v>
      </c>
      <c r="H1428" s="76" t="s">
        <v>494</v>
      </c>
      <c r="I1428" s="76" t="s">
        <v>465</v>
      </c>
      <c r="J1428" s="76" t="s">
        <v>366</v>
      </c>
      <c r="K1428" s="77">
        <v>43349</v>
      </c>
      <c r="L1428" s="76" t="s">
        <v>385</v>
      </c>
      <c r="M1428" s="76" t="s">
        <v>673</v>
      </c>
      <c r="N1428" s="76">
        <v>50</v>
      </c>
      <c r="O1428" s="76">
        <v>46</v>
      </c>
      <c r="P1428" s="78">
        <v>0.08</v>
      </c>
    </row>
    <row r="1429" spans="7:16" x14ac:dyDescent="0.3">
      <c r="G1429" t="s">
        <v>2952</v>
      </c>
      <c r="H1429" s="76" t="s">
        <v>591</v>
      </c>
      <c r="I1429" s="76" t="s">
        <v>592</v>
      </c>
      <c r="J1429" s="76" t="s">
        <v>372</v>
      </c>
      <c r="K1429" s="76" t="s">
        <v>1124</v>
      </c>
      <c r="L1429" s="76" t="s">
        <v>411</v>
      </c>
      <c r="M1429" s="76" t="s">
        <v>1277</v>
      </c>
      <c r="N1429" s="76">
        <v>1000</v>
      </c>
      <c r="O1429" s="76">
        <v>960</v>
      </c>
      <c r="P1429" s="78">
        <v>0.04</v>
      </c>
    </row>
    <row r="1430" spans="7:16" x14ac:dyDescent="0.3">
      <c r="G1430" t="s">
        <v>2953</v>
      </c>
      <c r="H1430" s="76" t="s">
        <v>619</v>
      </c>
      <c r="I1430" s="76" t="s">
        <v>620</v>
      </c>
      <c r="J1430" s="76" t="s">
        <v>372</v>
      </c>
      <c r="K1430" s="77">
        <v>42919</v>
      </c>
      <c r="L1430" s="76" t="s">
        <v>475</v>
      </c>
      <c r="M1430" s="76" t="s">
        <v>1562</v>
      </c>
      <c r="N1430" s="76">
        <v>250</v>
      </c>
      <c r="O1430" s="76">
        <v>243</v>
      </c>
      <c r="P1430" s="78">
        <v>2.8000000000000001E-2</v>
      </c>
    </row>
    <row r="1431" spans="7:16" x14ac:dyDescent="0.3">
      <c r="G1431" t="s">
        <v>2954</v>
      </c>
      <c r="H1431" s="76" t="s">
        <v>478</v>
      </c>
      <c r="I1431" s="76" t="s">
        <v>479</v>
      </c>
      <c r="J1431" s="76" t="s">
        <v>384</v>
      </c>
      <c r="K1431" s="76" t="s">
        <v>2955</v>
      </c>
      <c r="L1431" s="76" t="s">
        <v>373</v>
      </c>
      <c r="M1431" s="76" t="s">
        <v>1798</v>
      </c>
      <c r="N1431" s="76">
        <v>700</v>
      </c>
      <c r="O1431" s="76">
        <v>665</v>
      </c>
      <c r="P1431" s="78">
        <v>0.05</v>
      </c>
    </row>
    <row r="1432" spans="7:16" x14ac:dyDescent="0.3">
      <c r="G1432" t="s">
        <v>2956</v>
      </c>
      <c r="H1432" s="76" t="s">
        <v>414</v>
      </c>
      <c r="I1432" s="76" t="s">
        <v>415</v>
      </c>
      <c r="J1432" s="76" t="s">
        <v>384</v>
      </c>
      <c r="K1432" s="77">
        <v>43317</v>
      </c>
      <c r="L1432" s="76" t="s">
        <v>391</v>
      </c>
      <c r="M1432" s="76" t="s">
        <v>1479</v>
      </c>
      <c r="N1432" s="76">
        <v>30</v>
      </c>
      <c r="O1432" s="76">
        <v>30</v>
      </c>
      <c r="P1432" s="78">
        <v>0</v>
      </c>
    </row>
    <row r="1433" spans="7:16" x14ac:dyDescent="0.3">
      <c r="G1433" t="s">
        <v>2957</v>
      </c>
      <c r="H1433" s="76" t="s">
        <v>370</v>
      </c>
      <c r="I1433" s="76" t="s">
        <v>371</v>
      </c>
      <c r="J1433" s="76" t="s">
        <v>372</v>
      </c>
      <c r="K1433" s="76" t="s">
        <v>754</v>
      </c>
      <c r="L1433" s="76" t="s">
        <v>396</v>
      </c>
      <c r="M1433" s="76" t="s">
        <v>958</v>
      </c>
      <c r="N1433" s="76">
        <v>500</v>
      </c>
      <c r="O1433" s="76">
        <v>350</v>
      </c>
      <c r="P1433" s="78">
        <v>0.3</v>
      </c>
    </row>
    <row r="1434" spans="7:16" x14ac:dyDescent="0.3">
      <c r="G1434" t="s">
        <v>2958</v>
      </c>
      <c r="H1434" s="76" t="s">
        <v>421</v>
      </c>
      <c r="I1434" s="76" t="s">
        <v>422</v>
      </c>
      <c r="J1434" s="76" t="s">
        <v>384</v>
      </c>
      <c r="K1434" s="76" t="s">
        <v>2959</v>
      </c>
      <c r="L1434" s="76" t="s">
        <v>391</v>
      </c>
      <c r="M1434" s="76" t="s">
        <v>2202</v>
      </c>
      <c r="N1434" s="76">
        <v>30</v>
      </c>
      <c r="O1434" s="76">
        <v>28</v>
      </c>
      <c r="P1434" s="78">
        <v>6.6699999999999995E-2</v>
      </c>
    </row>
    <row r="1435" spans="7:16" x14ac:dyDescent="0.3">
      <c r="G1435" t="s">
        <v>2960</v>
      </c>
      <c r="H1435" s="76" t="s">
        <v>700</v>
      </c>
      <c r="I1435" s="76" t="s">
        <v>465</v>
      </c>
      <c r="J1435" s="76" t="s">
        <v>366</v>
      </c>
      <c r="K1435" s="76" t="s">
        <v>511</v>
      </c>
      <c r="L1435" s="76" t="s">
        <v>475</v>
      </c>
      <c r="M1435" s="76" t="s">
        <v>1520</v>
      </c>
      <c r="N1435" s="76">
        <v>250</v>
      </c>
      <c r="O1435" s="76">
        <v>245</v>
      </c>
      <c r="P1435" s="78">
        <v>0.02</v>
      </c>
    </row>
    <row r="1436" spans="7:16" x14ac:dyDescent="0.3">
      <c r="G1436" t="s">
        <v>2961</v>
      </c>
      <c r="H1436" s="76" t="s">
        <v>469</v>
      </c>
      <c r="I1436" s="76" t="s">
        <v>435</v>
      </c>
      <c r="J1436" s="76" t="s">
        <v>360</v>
      </c>
      <c r="K1436" s="76" t="s">
        <v>2962</v>
      </c>
      <c r="L1436" s="76" t="s">
        <v>379</v>
      </c>
      <c r="M1436" s="76" t="s">
        <v>808</v>
      </c>
      <c r="N1436" s="76">
        <v>150</v>
      </c>
      <c r="O1436" s="76">
        <v>143</v>
      </c>
      <c r="P1436" s="78">
        <v>4.6699999999999998E-2</v>
      </c>
    </row>
    <row r="1437" spans="7:16" x14ac:dyDescent="0.3">
      <c r="G1437" t="s">
        <v>2963</v>
      </c>
      <c r="H1437" s="76" t="s">
        <v>675</v>
      </c>
      <c r="I1437" s="76" t="s">
        <v>676</v>
      </c>
      <c r="J1437" s="76" t="s">
        <v>384</v>
      </c>
      <c r="K1437" s="76" t="s">
        <v>1848</v>
      </c>
      <c r="L1437" s="76" t="s">
        <v>483</v>
      </c>
      <c r="M1437" s="76" t="s">
        <v>678</v>
      </c>
      <c r="N1437" s="76">
        <v>50</v>
      </c>
      <c r="O1437" s="76">
        <v>49</v>
      </c>
      <c r="P1437" s="78">
        <v>0.02</v>
      </c>
    </row>
    <row r="1438" spans="7:16" x14ac:dyDescent="0.3">
      <c r="G1438" t="s">
        <v>2964</v>
      </c>
      <c r="H1438" s="76" t="s">
        <v>388</v>
      </c>
      <c r="I1438" s="76" t="s">
        <v>389</v>
      </c>
      <c r="J1438" s="76" t="s">
        <v>384</v>
      </c>
      <c r="K1438" s="76" t="s">
        <v>2965</v>
      </c>
      <c r="L1438" s="76" t="s">
        <v>385</v>
      </c>
      <c r="M1438" s="76" t="s">
        <v>2053</v>
      </c>
      <c r="N1438" s="76">
        <v>50</v>
      </c>
      <c r="O1438" s="76">
        <v>50</v>
      </c>
      <c r="P1438" s="78">
        <v>0</v>
      </c>
    </row>
    <row r="1439" spans="7:16" x14ac:dyDescent="0.3">
      <c r="G1439" t="s">
        <v>2966</v>
      </c>
      <c r="H1439" s="76" t="s">
        <v>414</v>
      </c>
      <c r="I1439" s="76" t="s">
        <v>415</v>
      </c>
      <c r="J1439" s="76" t="s">
        <v>384</v>
      </c>
      <c r="K1439" s="77">
        <v>42197</v>
      </c>
      <c r="L1439" s="76" t="s">
        <v>411</v>
      </c>
      <c r="M1439" s="76" t="s">
        <v>688</v>
      </c>
      <c r="N1439" s="76">
        <v>1000</v>
      </c>
      <c r="O1439" s="76">
        <v>940</v>
      </c>
      <c r="P1439" s="78">
        <v>0.06</v>
      </c>
    </row>
    <row r="1440" spans="7:16" x14ac:dyDescent="0.3">
      <c r="G1440" t="s">
        <v>2967</v>
      </c>
      <c r="H1440" s="76" t="s">
        <v>489</v>
      </c>
      <c r="I1440" s="76" t="s">
        <v>490</v>
      </c>
      <c r="J1440" s="76" t="s">
        <v>360</v>
      </c>
      <c r="K1440" s="77">
        <v>42461</v>
      </c>
      <c r="L1440" s="76" t="s">
        <v>405</v>
      </c>
      <c r="M1440" s="76" t="s">
        <v>1472</v>
      </c>
      <c r="N1440" s="76">
        <v>800</v>
      </c>
      <c r="O1440" s="76">
        <v>480</v>
      </c>
      <c r="P1440" s="78">
        <v>0.4</v>
      </c>
    </row>
    <row r="1441" spans="7:16" x14ac:dyDescent="0.3">
      <c r="G1441" t="s">
        <v>2968</v>
      </c>
      <c r="H1441" s="76" t="s">
        <v>638</v>
      </c>
      <c r="I1441" s="76" t="s">
        <v>639</v>
      </c>
      <c r="J1441" s="76" t="s">
        <v>360</v>
      </c>
      <c r="K1441" s="77">
        <v>41735</v>
      </c>
      <c r="L1441" s="76" t="s">
        <v>475</v>
      </c>
      <c r="M1441" s="76" t="s">
        <v>1148</v>
      </c>
      <c r="N1441" s="76">
        <v>250</v>
      </c>
      <c r="O1441" s="76">
        <v>198</v>
      </c>
      <c r="P1441" s="78">
        <v>0.20799999999999999</v>
      </c>
    </row>
    <row r="1442" spans="7:16" x14ac:dyDescent="0.3">
      <c r="G1442" t="s">
        <v>2969</v>
      </c>
      <c r="H1442" s="76" t="s">
        <v>551</v>
      </c>
      <c r="I1442" s="76" t="s">
        <v>552</v>
      </c>
      <c r="J1442" s="76" t="s">
        <v>360</v>
      </c>
      <c r="K1442" s="77">
        <v>43140</v>
      </c>
      <c r="L1442" s="76" t="s">
        <v>379</v>
      </c>
      <c r="M1442" s="76" t="s">
        <v>2389</v>
      </c>
      <c r="N1442" s="76">
        <v>150</v>
      </c>
      <c r="O1442" s="76">
        <v>131</v>
      </c>
      <c r="P1442" s="78">
        <v>0.12670000000000001</v>
      </c>
    </row>
    <row r="1443" spans="7:16" x14ac:dyDescent="0.3">
      <c r="G1443" t="s">
        <v>2970</v>
      </c>
      <c r="H1443" s="76" t="s">
        <v>591</v>
      </c>
      <c r="I1443" s="76" t="s">
        <v>592</v>
      </c>
      <c r="J1443" s="76" t="s">
        <v>372</v>
      </c>
      <c r="K1443" s="76" t="s">
        <v>687</v>
      </c>
      <c r="L1443" s="76" t="s">
        <v>411</v>
      </c>
      <c r="M1443" s="76" t="s">
        <v>1327</v>
      </c>
      <c r="N1443" s="76">
        <v>1000</v>
      </c>
      <c r="O1443" s="76">
        <v>730</v>
      </c>
      <c r="P1443" s="78">
        <v>0.27</v>
      </c>
    </row>
    <row r="1444" spans="7:16" x14ac:dyDescent="0.3">
      <c r="G1444" t="s">
        <v>2971</v>
      </c>
      <c r="H1444" s="76" t="s">
        <v>489</v>
      </c>
      <c r="I1444" s="76" t="s">
        <v>490</v>
      </c>
      <c r="J1444" s="76" t="s">
        <v>360</v>
      </c>
      <c r="K1444" s="77">
        <v>42685</v>
      </c>
      <c r="L1444" s="76" t="s">
        <v>405</v>
      </c>
      <c r="M1444" s="76" t="s">
        <v>1539</v>
      </c>
      <c r="N1444" s="76">
        <v>800</v>
      </c>
      <c r="O1444" s="76">
        <v>584</v>
      </c>
      <c r="P1444" s="78">
        <v>0.27</v>
      </c>
    </row>
    <row r="1445" spans="7:16" x14ac:dyDescent="0.3">
      <c r="G1445" t="s">
        <v>2972</v>
      </c>
      <c r="H1445" s="76" t="s">
        <v>560</v>
      </c>
      <c r="I1445" s="76" t="s">
        <v>465</v>
      </c>
      <c r="J1445" s="76" t="s">
        <v>366</v>
      </c>
      <c r="K1445" s="76" t="s">
        <v>1848</v>
      </c>
      <c r="L1445" s="76" t="s">
        <v>379</v>
      </c>
      <c r="M1445" s="76" t="s">
        <v>2973</v>
      </c>
      <c r="N1445" s="76">
        <v>150</v>
      </c>
      <c r="O1445" s="76">
        <v>128</v>
      </c>
      <c r="P1445" s="78">
        <v>0.1467</v>
      </c>
    </row>
    <row r="1446" spans="7:16" x14ac:dyDescent="0.3">
      <c r="G1446" t="s">
        <v>2974</v>
      </c>
      <c r="H1446" s="76" t="s">
        <v>403</v>
      </c>
      <c r="I1446" s="76" t="s">
        <v>404</v>
      </c>
      <c r="J1446" s="76" t="s">
        <v>360</v>
      </c>
      <c r="K1446" s="76" t="s">
        <v>626</v>
      </c>
      <c r="L1446" s="76" t="s">
        <v>411</v>
      </c>
      <c r="M1446" s="76" t="s">
        <v>851</v>
      </c>
      <c r="N1446" s="76">
        <v>1000</v>
      </c>
      <c r="O1446" s="76">
        <v>1000</v>
      </c>
      <c r="P1446" s="78">
        <v>0</v>
      </c>
    </row>
    <row r="1447" spans="7:16" x14ac:dyDescent="0.3">
      <c r="G1447" t="s">
        <v>2975</v>
      </c>
      <c r="H1447" s="76" t="s">
        <v>514</v>
      </c>
      <c r="I1447" s="76" t="s">
        <v>515</v>
      </c>
      <c r="J1447" s="76" t="s">
        <v>360</v>
      </c>
      <c r="K1447" s="76" t="s">
        <v>529</v>
      </c>
      <c r="L1447" s="76" t="s">
        <v>385</v>
      </c>
      <c r="M1447" s="76" t="s">
        <v>1693</v>
      </c>
      <c r="N1447" s="76">
        <v>50</v>
      </c>
      <c r="O1447" s="76">
        <v>47</v>
      </c>
      <c r="P1447" s="78">
        <v>0.06</v>
      </c>
    </row>
    <row r="1448" spans="7:16" x14ac:dyDescent="0.3">
      <c r="G1448" t="s">
        <v>2976</v>
      </c>
      <c r="H1448" s="76" t="s">
        <v>434</v>
      </c>
      <c r="I1448" s="76" t="s">
        <v>435</v>
      </c>
      <c r="J1448" s="76" t="s">
        <v>360</v>
      </c>
      <c r="K1448" s="76" t="s">
        <v>2072</v>
      </c>
      <c r="L1448" s="76" t="s">
        <v>379</v>
      </c>
      <c r="M1448" s="76" t="s">
        <v>1055</v>
      </c>
      <c r="N1448" s="76">
        <v>150</v>
      </c>
      <c r="O1448" s="76">
        <v>144</v>
      </c>
      <c r="P1448" s="78">
        <v>0.04</v>
      </c>
    </row>
    <row r="1449" spans="7:16" x14ac:dyDescent="0.3">
      <c r="G1449" t="s">
        <v>2977</v>
      </c>
      <c r="H1449" s="76" t="s">
        <v>409</v>
      </c>
      <c r="I1449" s="76" t="s">
        <v>410</v>
      </c>
      <c r="J1449" s="76" t="s">
        <v>360</v>
      </c>
      <c r="K1449" s="77">
        <v>41974</v>
      </c>
      <c r="L1449" s="76" t="s">
        <v>391</v>
      </c>
      <c r="M1449" s="76" t="s">
        <v>1246</v>
      </c>
      <c r="N1449" s="76">
        <v>30</v>
      </c>
      <c r="O1449" s="76">
        <v>29</v>
      </c>
      <c r="P1449" s="78">
        <v>3.3300000000000003E-2</v>
      </c>
    </row>
    <row r="1450" spans="7:16" x14ac:dyDescent="0.3">
      <c r="G1450" t="s">
        <v>2978</v>
      </c>
      <c r="H1450" s="76" t="s">
        <v>524</v>
      </c>
      <c r="I1450" s="76" t="s">
        <v>465</v>
      </c>
      <c r="J1450" s="76" t="s">
        <v>366</v>
      </c>
      <c r="K1450" s="77">
        <v>42711</v>
      </c>
      <c r="L1450" s="76" t="s">
        <v>385</v>
      </c>
      <c r="M1450" s="76" t="s">
        <v>526</v>
      </c>
      <c r="N1450" s="76">
        <v>50</v>
      </c>
      <c r="O1450" s="76">
        <v>44</v>
      </c>
      <c r="P1450" s="78">
        <v>0.12</v>
      </c>
    </row>
    <row r="1451" spans="7:16" x14ac:dyDescent="0.3">
      <c r="G1451" t="s">
        <v>2979</v>
      </c>
      <c r="H1451" s="76" t="s">
        <v>497</v>
      </c>
      <c r="I1451" s="76" t="s">
        <v>445</v>
      </c>
      <c r="J1451" s="76" t="s">
        <v>384</v>
      </c>
      <c r="K1451" s="76" t="s">
        <v>2980</v>
      </c>
      <c r="L1451" s="76" t="s">
        <v>396</v>
      </c>
      <c r="M1451" s="76" t="s">
        <v>1675</v>
      </c>
      <c r="N1451" s="76">
        <v>500</v>
      </c>
      <c r="O1451" s="76">
        <v>350</v>
      </c>
      <c r="P1451" s="78">
        <v>0.3</v>
      </c>
    </row>
    <row r="1452" spans="7:16" x14ac:dyDescent="0.3">
      <c r="G1452" t="s">
        <v>2981</v>
      </c>
      <c r="H1452" s="76" t="s">
        <v>449</v>
      </c>
      <c r="I1452" s="76" t="s">
        <v>450</v>
      </c>
      <c r="J1452" s="76" t="s">
        <v>360</v>
      </c>
      <c r="K1452" s="77">
        <v>42317</v>
      </c>
      <c r="L1452" s="76" t="s">
        <v>483</v>
      </c>
      <c r="M1452" s="76" t="s">
        <v>1288</v>
      </c>
      <c r="N1452" s="76">
        <v>50</v>
      </c>
      <c r="O1452" s="76">
        <v>42</v>
      </c>
      <c r="P1452" s="78">
        <v>0.16</v>
      </c>
    </row>
    <row r="1453" spans="7:16" x14ac:dyDescent="0.3">
      <c r="G1453" t="s">
        <v>2982</v>
      </c>
      <c r="H1453" s="76" t="s">
        <v>675</v>
      </c>
      <c r="I1453" s="76" t="s">
        <v>676</v>
      </c>
      <c r="J1453" s="76" t="s">
        <v>384</v>
      </c>
      <c r="K1453" s="76" t="s">
        <v>2983</v>
      </c>
      <c r="L1453" s="76" t="s">
        <v>475</v>
      </c>
      <c r="M1453" s="76" t="s">
        <v>1268</v>
      </c>
      <c r="N1453" s="76">
        <v>250</v>
      </c>
      <c r="O1453" s="76">
        <v>220</v>
      </c>
      <c r="P1453" s="78">
        <v>0.12</v>
      </c>
    </row>
    <row r="1454" spans="7:16" x14ac:dyDescent="0.3">
      <c r="G1454" t="s">
        <v>2984</v>
      </c>
      <c r="H1454" s="76" t="s">
        <v>438</v>
      </c>
      <c r="I1454" s="76" t="s">
        <v>439</v>
      </c>
      <c r="J1454" s="76" t="s">
        <v>360</v>
      </c>
      <c r="K1454" s="76" t="s">
        <v>2384</v>
      </c>
      <c r="L1454" s="76" t="s">
        <v>396</v>
      </c>
      <c r="M1454" s="76" t="s">
        <v>1091</v>
      </c>
      <c r="N1454" s="76">
        <v>500</v>
      </c>
      <c r="O1454" s="76">
        <v>485</v>
      </c>
      <c r="P1454" s="78">
        <v>0.03</v>
      </c>
    </row>
    <row r="1455" spans="7:16" x14ac:dyDescent="0.3">
      <c r="G1455" t="s">
        <v>2985</v>
      </c>
      <c r="H1455" s="76" t="s">
        <v>560</v>
      </c>
      <c r="I1455" s="76" t="s">
        <v>465</v>
      </c>
      <c r="J1455" s="76" t="s">
        <v>366</v>
      </c>
      <c r="K1455" s="77">
        <v>43199</v>
      </c>
      <c r="L1455" s="76" t="s">
        <v>373</v>
      </c>
      <c r="M1455" s="76" t="s">
        <v>562</v>
      </c>
      <c r="N1455" s="76">
        <v>700</v>
      </c>
      <c r="O1455" s="76">
        <v>672</v>
      </c>
      <c r="P1455" s="78">
        <v>0.04</v>
      </c>
    </row>
    <row r="1456" spans="7:16" x14ac:dyDescent="0.3">
      <c r="G1456" t="s">
        <v>2986</v>
      </c>
      <c r="H1456" s="76" t="s">
        <v>449</v>
      </c>
      <c r="I1456" s="76" t="s">
        <v>450</v>
      </c>
      <c r="J1456" s="76" t="s">
        <v>360</v>
      </c>
      <c r="K1456" s="77">
        <v>43074</v>
      </c>
      <c r="L1456" s="76" t="s">
        <v>373</v>
      </c>
      <c r="M1456" s="76" t="s">
        <v>2019</v>
      </c>
      <c r="N1456" s="76">
        <v>700</v>
      </c>
      <c r="O1456" s="76">
        <v>630</v>
      </c>
      <c r="P1456" s="78">
        <v>0.1</v>
      </c>
    </row>
    <row r="1457" spans="7:16" x14ac:dyDescent="0.3">
      <c r="G1457" t="s">
        <v>2987</v>
      </c>
      <c r="H1457" s="76" t="s">
        <v>382</v>
      </c>
      <c r="I1457" s="76" t="s">
        <v>383</v>
      </c>
      <c r="J1457" s="76" t="s">
        <v>384</v>
      </c>
      <c r="K1457" s="76" t="s">
        <v>2988</v>
      </c>
      <c r="L1457" s="76" t="s">
        <v>405</v>
      </c>
      <c r="M1457" s="76" t="s">
        <v>427</v>
      </c>
      <c r="N1457" s="76">
        <v>800</v>
      </c>
      <c r="O1457" s="76">
        <v>688</v>
      </c>
      <c r="P1457" s="78">
        <v>0.14000000000000001</v>
      </c>
    </row>
    <row r="1458" spans="7:16" x14ac:dyDescent="0.3">
      <c r="G1458" t="s">
        <v>2989</v>
      </c>
      <c r="H1458" s="76" t="s">
        <v>611</v>
      </c>
      <c r="I1458" s="76" t="s">
        <v>389</v>
      </c>
      <c r="J1458" s="76" t="s">
        <v>384</v>
      </c>
      <c r="K1458" s="76" t="s">
        <v>1322</v>
      </c>
      <c r="L1458" s="76" t="s">
        <v>385</v>
      </c>
      <c r="M1458" s="76" t="s">
        <v>666</v>
      </c>
      <c r="N1458" s="76">
        <v>50</v>
      </c>
      <c r="O1458" s="76">
        <v>48</v>
      </c>
      <c r="P1458" s="78">
        <v>0.04</v>
      </c>
    </row>
    <row r="1459" spans="7:16" x14ac:dyDescent="0.3">
      <c r="G1459" t="s">
        <v>2990</v>
      </c>
      <c r="H1459" s="76" t="s">
        <v>403</v>
      </c>
      <c r="I1459" s="76" t="s">
        <v>404</v>
      </c>
      <c r="J1459" s="76" t="s">
        <v>360</v>
      </c>
      <c r="K1459" s="76" t="s">
        <v>2991</v>
      </c>
      <c r="L1459" s="76" t="s">
        <v>461</v>
      </c>
      <c r="M1459" s="76" t="s">
        <v>851</v>
      </c>
      <c r="N1459" s="76">
        <v>70</v>
      </c>
      <c r="O1459" s="76">
        <v>67</v>
      </c>
      <c r="P1459" s="78">
        <v>4.2900000000000001E-2</v>
      </c>
    </row>
    <row r="1460" spans="7:16" x14ac:dyDescent="0.3">
      <c r="G1460" t="s">
        <v>2992</v>
      </c>
      <c r="H1460" s="76" t="s">
        <v>566</v>
      </c>
      <c r="I1460" s="76" t="s">
        <v>567</v>
      </c>
      <c r="J1460" s="76" t="s">
        <v>360</v>
      </c>
      <c r="K1460" s="77">
        <v>42773</v>
      </c>
      <c r="L1460" s="76" t="s">
        <v>396</v>
      </c>
      <c r="M1460" s="76" t="s">
        <v>1370</v>
      </c>
      <c r="N1460" s="76">
        <v>500</v>
      </c>
      <c r="O1460" s="76">
        <v>470</v>
      </c>
      <c r="P1460" s="78">
        <v>0.06</v>
      </c>
    </row>
    <row r="1461" spans="7:16" x14ac:dyDescent="0.3">
      <c r="G1461" t="s">
        <v>2993</v>
      </c>
      <c r="H1461" s="76" t="s">
        <v>551</v>
      </c>
      <c r="I1461" s="76" t="s">
        <v>552</v>
      </c>
      <c r="J1461" s="76" t="s">
        <v>360</v>
      </c>
      <c r="K1461" s="76" t="s">
        <v>1098</v>
      </c>
      <c r="L1461" s="76" t="s">
        <v>475</v>
      </c>
      <c r="M1461" s="76" t="s">
        <v>2389</v>
      </c>
      <c r="N1461" s="76">
        <v>250</v>
      </c>
      <c r="O1461" s="76">
        <v>243</v>
      </c>
      <c r="P1461" s="78">
        <v>2.8000000000000001E-2</v>
      </c>
    </row>
    <row r="1462" spans="7:16" x14ac:dyDescent="0.3">
      <c r="G1462" t="s">
        <v>2994</v>
      </c>
      <c r="H1462" s="76" t="s">
        <v>528</v>
      </c>
      <c r="I1462" s="76" t="s">
        <v>465</v>
      </c>
      <c r="J1462" s="76" t="s">
        <v>366</v>
      </c>
      <c r="K1462" s="76" t="s">
        <v>1133</v>
      </c>
      <c r="L1462" s="76" t="s">
        <v>405</v>
      </c>
      <c r="M1462" s="76" t="s">
        <v>1275</v>
      </c>
      <c r="N1462" s="76">
        <v>800</v>
      </c>
      <c r="O1462" s="76">
        <v>552</v>
      </c>
      <c r="P1462" s="78">
        <v>0.31</v>
      </c>
    </row>
    <row r="1463" spans="7:16" x14ac:dyDescent="0.3">
      <c r="G1463" t="s">
        <v>2995</v>
      </c>
      <c r="H1463" s="76" t="s">
        <v>551</v>
      </c>
      <c r="I1463" s="76" t="s">
        <v>552</v>
      </c>
      <c r="J1463" s="76" t="s">
        <v>360</v>
      </c>
      <c r="K1463" s="77">
        <v>42684</v>
      </c>
      <c r="L1463" s="76" t="s">
        <v>424</v>
      </c>
      <c r="M1463" s="76" t="s">
        <v>1366</v>
      </c>
      <c r="N1463" s="76">
        <v>500</v>
      </c>
      <c r="O1463" s="76">
        <v>490</v>
      </c>
      <c r="P1463" s="78">
        <v>0.02</v>
      </c>
    </row>
    <row r="1464" spans="7:16" x14ac:dyDescent="0.3">
      <c r="G1464" t="s">
        <v>2996</v>
      </c>
      <c r="H1464" s="76" t="s">
        <v>394</v>
      </c>
      <c r="I1464" s="76" t="s">
        <v>395</v>
      </c>
      <c r="J1464" s="76" t="s">
        <v>372</v>
      </c>
      <c r="K1464" s="76" t="s">
        <v>1184</v>
      </c>
      <c r="L1464" s="76" t="s">
        <v>361</v>
      </c>
      <c r="M1464" s="76" t="s">
        <v>1744</v>
      </c>
      <c r="N1464" s="76">
        <v>80</v>
      </c>
      <c r="O1464" s="76">
        <v>65</v>
      </c>
      <c r="P1464" s="78">
        <v>0.1875</v>
      </c>
    </row>
    <row r="1465" spans="7:16" x14ac:dyDescent="0.3">
      <c r="G1465" t="s">
        <v>2997</v>
      </c>
      <c r="H1465" s="76" t="s">
        <v>656</v>
      </c>
      <c r="I1465" s="76" t="s">
        <v>657</v>
      </c>
      <c r="J1465" s="76" t="s">
        <v>360</v>
      </c>
      <c r="K1465" s="76" t="s">
        <v>2998</v>
      </c>
      <c r="L1465" s="76" t="s">
        <v>483</v>
      </c>
      <c r="M1465" s="76" t="s">
        <v>2731</v>
      </c>
      <c r="N1465" s="76">
        <v>50</v>
      </c>
      <c r="O1465" s="76">
        <v>43</v>
      </c>
      <c r="P1465" s="78">
        <v>0.14000000000000001</v>
      </c>
    </row>
    <row r="1466" spans="7:16" x14ac:dyDescent="0.3">
      <c r="G1466" t="s">
        <v>2999</v>
      </c>
      <c r="H1466" s="76" t="s">
        <v>528</v>
      </c>
      <c r="I1466" s="76" t="s">
        <v>465</v>
      </c>
      <c r="J1466" s="76" t="s">
        <v>366</v>
      </c>
      <c r="K1466" s="76" t="s">
        <v>1355</v>
      </c>
      <c r="L1466" s="76" t="s">
        <v>405</v>
      </c>
      <c r="M1466" s="76" t="s">
        <v>2789</v>
      </c>
      <c r="N1466" s="76">
        <v>800</v>
      </c>
      <c r="O1466" s="76">
        <v>616</v>
      </c>
      <c r="P1466" s="78">
        <v>0.23</v>
      </c>
    </row>
    <row r="1467" spans="7:16" x14ac:dyDescent="0.3">
      <c r="G1467" t="s">
        <v>3000</v>
      </c>
      <c r="H1467" s="76" t="s">
        <v>619</v>
      </c>
      <c r="I1467" s="76" t="s">
        <v>620</v>
      </c>
      <c r="J1467" s="76" t="s">
        <v>372</v>
      </c>
      <c r="K1467" s="77">
        <v>42403</v>
      </c>
      <c r="L1467" s="76" t="s">
        <v>424</v>
      </c>
      <c r="M1467" s="76" t="s">
        <v>1681</v>
      </c>
      <c r="N1467" s="76">
        <v>500</v>
      </c>
      <c r="O1467" s="76">
        <v>490</v>
      </c>
      <c r="P1467" s="78">
        <v>0.02</v>
      </c>
    </row>
    <row r="1468" spans="7:16" x14ac:dyDescent="0.3">
      <c r="G1468" t="s">
        <v>3001</v>
      </c>
      <c r="H1468" s="76" t="s">
        <v>421</v>
      </c>
      <c r="I1468" s="76" t="s">
        <v>422</v>
      </c>
      <c r="J1468" s="76" t="s">
        <v>384</v>
      </c>
      <c r="K1468" s="76" t="s">
        <v>3002</v>
      </c>
      <c r="L1468" s="76" t="s">
        <v>391</v>
      </c>
      <c r="M1468" s="76" t="s">
        <v>425</v>
      </c>
      <c r="N1468" s="76">
        <v>30</v>
      </c>
      <c r="O1468" s="76">
        <v>26</v>
      </c>
      <c r="P1468" s="78">
        <v>0.1333</v>
      </c>
    </row>
    <row r="1469" spans="7:16" x14ac:dyDescent="0.3">
      <c r="G1469" t="s">
        <v>3003</v>
      </c>
      <c r="H1469" s="76" t="s">
        <v>514</v>
      </c>
      <c r="I1469" s="76" t="s">
        <v>515</v>
      </c>
      <c r="J1469" s="76" t="s">
        <v>360</v>
      </c>
      <c r="K1469" s="77">
        <v>43353</v>
      </c>
      <c r="L1469" s="76" t="s">
        <v>483</v>
      </c>
      <c r="M1469" s="76" t="s">
        <v>2505</v>
      </c>
      <c r="N1469" s="76">
        <v>50</v>
      </c>
      <c r="O1469" s="76">
        <v>48</v>
      </c>
      <c r="P1469" s="78">
        <v>0.04</v>
      </c>
    </row>
    <row r="1470" spans="7:16" x14ac:dyDescent="0.3">
      <c r="G1470" t="s">
        <v>3004</v>
      </c>
      <c r="H1470" s="76" t="s">
        <v>421</v>
      </c>
      <c r="I1470" s="76" t="s">
        <v>422</v>
      </c>
      <c r="J1470" s="76" t="s">
        <v>384</v>
      </c>
      <c r="K1470" s="76" t="s">
        <v>1184</v>
      </c>
      <c r="L1470" s="76" t="s">
        <v>405</v>
      </c>
      <c r="M1470" s="76" t="s">
        <v>1596</v>
      </c>
      <c r="N1470" s="76">
        <v>800</v>
      </c>
      <c r="O1470" s="76">
        <v>608</v>
      </c>
      <c r="P1470" s="78">
        <v>0.24</v>
      </c>
    </row>
    <row r="1471" spans="7:16" x14ac:dyDescent="0.3">
      <c r="G1471" t="s">
        <v>3005</v>
      </c>
      <c r="H1471" s="76" t="s">
        <v>611</v>
      </c>
      <c r="I1471" s="76" t="s">
        <v>389</v>
      </c>
      <c r="J1471" s="76" t="s">
        <v>384</v>
      </c>
      <c r="K1471" s="76" t="s">
        <v>1229</v>
      </c>
      <c r="L1471" s="76" t="s">
        <v>411</v>
      </c>
      <c r="M1471" s="76" t="s">
        <v>613</v>
      </c>
      <c r="N1471" s="76">
        <v>1000</v>
      </c>
      <c r="O1471" s="76">
        <v>680</v>
      </c>
      <c r="P1471" s="78">
        <v>0.32</v>
      </c>
    </row>
    <row r="1472" spans="7:16" x14ac:dyDescent="0.3">
      <c r="G1472" t="s">
        <v>3006</v>
      </c>
      <c r="H1472" s="76" t="s">
        <v>464</v>
      </c>
      <c r="I1472" s="76" t="s">
        <v>465</v>
      </c>
      <c r="J1472" s="76" t="s">
        <v>366</v>
      </c>
      <c r="K1472" s="76" t="s">
        <v>3007</v>
      </c>
      <c r="L1472" s="76" t="s">
        <v>424</v>
      </c>
      <c r="M1472" s="76" t="s">
        <v>1575</v>
      </c>
      <c r="N1472" s="76">
        <v>500</v>
      </c>
      <c r="O1472" s="76">
        <v>500</v>
      </c>
      <c r="P1472" s="78">
        <v>0</v>
      </c>
    </row>
    <row r="1473" spans="7:16" x14ac:dyDescent="0.3">
      <c r="G1473" t="s">
        <v>3008</v>
      </c>
      <c r="H1473" s="76" t="s">
        <v>409</v>
      </c>
      <c r="I1473" s="76" t="s">
        <v>410</v>
      </c>
      <c r="J1473" s="76" t="s">
        <v>360</v>
      </c>
      <c r="K1473" s="76" t="s">
        <v>3009</v>
      </c>
      <c r="L1473" s="76" t="s">
        <v>373</v>
      </c>
      <c r="M1473" s="76" t="s">
        <v>2748</v>
      </c>
      <c r="N1473" s="76">
        <v>700</v>
      </c>
      <c r="O1473" s="76">
        <v>462</v>
      </c>
      <c r="P1473" s="78">
        <v>0.34</v>
      </c>
    </row>
    <row r="1474" spans="7:16" x14ac:dyDescent="0.3">
      <c r="G1474" t="s">
        <v>3010</v>
      </c>
      <c r="H1474" s="76" t="s">
        <v>454</v>
      </c>
      <c r="I1474" s="76" t="s">
        <v>455</v>
      </c>
      <c r="J1474" s="76" t="s">
        <v>360</v>
      </c>
      <c r="K1474" s="76" t="s">
        <v>1749</v>
      </c>
      <c r="L1474" s="76" t="s">
        <v>361</v>
      </c>
      <c r="M1474" s="76" t="s">
        <v>1577</v>
      </c>
      <c r="N1474" s="76">
        <v>80</v>
      </c>
      <c r="O1474" s="76">
        <v>69</v>
      </c>
      <c r="P1474" s="78">
        <v>0.13750000000000001</v>
      </c>
    </row>
    <row r="1475" spans="7:16" x14ac:dyDescent="0.3">
      <c r="G1475" t="s">
        <v>3011</v>
      </c>
      <c r="H1475" s="76" t="s">
        <v>566</v>
      </c>
      <c r="I1475" s="76" t="s">
        <v>567</v>
      </c>
      <c r="J1475" s="76" t="s">
        <v>360</v>
      </c>
      <c r="K1475" s="76" t="s">
        <v>3012</v>
      </c>
      <c r="L1475" s="76" t="s">
        <v>461</v>
      </c>
      <c r="M1475" s="76" t="s">
        <v>569</v>
      </c>
      <c r="N1475" s="76">
        <v>70</v>
      </c>
      <c r="O1475" s="76">
        <v>47</v>
      </c>
      <c r="P1475" s="78">
        <v>0.3286</v>
      </c>
    </row>
    <row r="1476" spans="7:16" x14ac:dyDescent="0.3">
      <c r="G1476" t="s">
        <v>3013</v>
      </c>
      <c r="H1476" s="76" t="s">
        <v>358</v>
      </c>
      <c r="I1476" s="76" t="s">
        <v>359</v>
      </c>
      <c r="J1476" s="76" t="s">
        <v>360</v>
      </c>
      <c r="K1476" s="76" t="s">
        <v>3014</v>
      </c>
      <c r="L1476" s="76" t="s">
        <v>396</v>
      </c>
      <c r="M1476" s="76" t="s">
        <v>683</v>
      </c>
      <c r="N1476" s="76">
        <v>500</v>
      </c>
      <c r="O1476" s="76">
        <v>490</v>
      </c>
      <c r="P1476" s="78">
        <v>0.02</v>
      </c>
    </row>
    <row r="1477" spans="7:16" x14ac:dyDescent="0.3">
      <c r="G1477" t="s">
        <v>3015</v>
      </c>
      <c r="H1477" s="76" t="s">
        <v>414</v>
      </c>
      <c r="I1477" s="76" t="s">
        <v>415</v>
      </c>
      <c r="J1477" s="76" t="s">
        <v>384</v>
      </c>
      <c r="K1477" s="76" t="s">
        <v>3016</v>
      </c>
      <c r="L1477" s="76" t="s">
        <v>424</v>
      </c>
      <c r="M1477" s="76" t="s">
        <v>715</v>
      </c>
      <c r="N1477" s="76">
        <v>500</v>
      </c>
      <c r="O1477" s="76">
        <v>490</v>
      </c>
      <c r="P1477" s="78">
        <v>0.02</v>
      </c>
    </row>
    <row r="1478" spans="7:16" x14ac:dyDescent="0.3">
      <c r="G1478" t="s">
        <v>3017</v>
      </c>
      <c r="H1478" s="76" t="s">
        <v>444</v>
      </c>
      <c r="I1478" s="76" t="s">
        <v>445</v>
      </c>
      <c r="J1478" s="76" t="s">
        <v>384</v>
      </c>
      <c r="K1478" s="76" t="s">
        <v>2499</v>
      </c>
      <c r="L1478" s="76" t="s">
        <v>361</v>
      </c>
      <c r="M1478" s="76" t="s">
        <v>975</v>
      </c>
      <c r="N1478" s="76">
        <v>80</v>
      </c>
      <c r="O1478" s="76">
        <v>80</v>
      </c>
      <c r="P1478" s="78">
        <v>0</v>
      </c>
    </row>
    <row r="1479" spans="7:16" x14ac:dyDescent="0.3">
      <c r="G1479" t="s">
        <v>3018</v>
      </c>
      <c r="H1479" s="76" t="s">
        <v>489</v>
      </c>
      <c r="I1479" s="76" t="s">
        <v>490</v>
      </c>
      <c r="J1479" s="76" t="s">
        <v>360</v>
      </c>
      <c r="K1479" s="76" t="s">
        <v>3019</v>
      </c>
      <c r="L1479" s="76" t="s">
        <v>361</v>
      </c>
      <c r="M1479" s="76" t="s">
        <v>627</v>
      </c>
      <c r="N1479" s="76">
        <v>80</v>
      </c>
      <c r="O1479" s="76">
        <v>76</v>
      </c>
      <c r="P1479" s="78">
        <v>0.05</v>
      </c>
    </row>
    <row r="1480" spans="7:16" x14ac:dyDescent="0.3">
      <c r="G1480" t="s">
        <v>3020</v>
      </c>
      <c r="H1480" s="76" t="s">
        <v>638</v>
      </c>
      <c r="I1480" s="76" t="s">
        <v>639</v>
      </c>
      <c r="J1480" s="76" t="s">
        <v>360</v>
      </c>
      <c r="K1480" s="77">
        <v>43193</v>
      </c>
      <c r="L1480" s="76" t="s">
        <v>373</v>
      </c>
      <c r="M1480" s="76" t="s">
        <v>1008</v>
      </c>
      <c r="N1480" s="76">
        <v>700</v>
      </c>
      <c r="O1480" s="76">
        <v>686</v>
      </c>
      <c r="P1480" s="78">
        <v>0.02</v>
      </c>
    </row>
    <row r="1481" spans="7:16" x14ac:dyDescent="0.3">
      <c r="G1481" t="s">
        <v>3021</v>
      </c>
      <c r="H1481" s="76" t="s">
        <v>551</v>
      </c>
      <c r="I1481" s="76" t="s">
        <v>552</v>
      </c>
      <c r="J1481" s="76" t="s">
        <v>360</v>
      </c>
      <c r="K1481" s="76" t="s">
        <v>3022</v>
      </c>
      <c r="L1481" s="76" t="s">
        <v>475</v>
      </c>
      <c r="M1481" s="76" t="s">
        <v>2021</v>
      </c>
      <c r="N1481" s="76">
        <v>250</v>
      </c>
      <c r="O1481" s="76">
        <v>223</v>
      </c>
      <c r="P1481" s="78">
        <v>0.108</v>
      </c>
    </row>
    <row r="1482" spans="7:16" x14ac:dyDescent="0.3">
      <c r="G1482" t="s">
        <v>3023</v>
      </c>
      <c r="H1482" s="76" t="s">
        <v>444</v>
      </c>
      <c r="I1482" s="76" t="s">
        <v>445</v>
      </c>
      <c r="J1482" s="76" t="s">
        <v>384</v>
      </c>
      <c r="K1482" s="77">
        <v>42071</v>
      </c>
      <c r="L1482" s="76" t="s">
        <v>475</v>
      </c>
      <c r="M1482" s="76" t="s">
        <v>583</v>
      </c>
      <c r="N1482" s="76">
        <v>250</v>
      </c>
      <c r="O1482" s="76">
        <v>180</v>
      </c>
      <c r="P1482" s="78">
        <v>0.28000000000000003</v>
      </c>
    </row>
    <row r="1483" spans="7:16" x14ac:dyDescent="0.3">
      <c r="G1483" t="s">
        <v>3024</v>
      </c>
      <c r="H1483" s="76" t="s">
        <v>591</v>
      </c>
      <c r="I1483" s="76" t="s">
        <v>592</v>
      </c>
      <c r="J1483" s="76" t="s">
        <v>372</v>
      </c>
      <c r="K1483" s="77">
        <v>42682</v>
      </c>
      <c r="L1483" s="76" t="s">
        <v>379</v>
      </c>
      <c r="M1483" s="76" t="s">
        <v>1088</v>
      </c>
      <c r="N1483" s="76">
        <v>150</v>
      </c>
      <c r="O1483" s="76">
        <v>146</v>
      </c>
      <c r="P1483" s="78">
        <v>2.6700000000000002E-2</v>
      </c>
    </row>
    <row r="1484" spans="7:16" x14ac:dyDescent="0.3">
      <c r="G1484" t="s">
        <v>3025</v>
      </c>
      <c r="H1484" s="76" t="s">
        <v>591</v>
      </c>
      <c r="I1484" s="76" t="s">
        <v>592</v>
      </c>
      <c r="J1484" s="76" t="s">
        <v>372</v>
      </c>
      <c r="K1484" s="76" t="s">
        <v>2597</v>
      </c>
      <c r="L1484" s="76" t="s">
        <v>475</v>
      </c>
      <c r="M1484" s="76" t="s">
        <v>2660</v>
      </c>
      <c r="N1484" s="76">
        <v>250</v>
      </c>
      <c r="O1484" s="76">
        <v>235</v>
      </c>
      <c r="P1484" s="78">
        <v>0.06</v>
      </c>
    </row>
    <row r="1485" spans="7:16" x14ac:dyDescent="0.3">
      <c r="G1485" t="s">
        <v>3026</v>
      </c>
      <c r="H1485" s="76" t="s">
        <v>438</v>
      </c>
      <c r="I1485" s="76" t="s">
        <v>439</v>
      </c>
      <c r="J1485" s="76" t="s">
        <v>360</v>
      </c>
      <c r="K1485" s="77">
        <v>43384</v>
      </c>
      <c r="L1485" s="76" t="s">
        <v>405</v>
      </c>
      <c r="M1485" s="76" t="s">
        <v>1079</v>
      </c>
      <c r="N1485" s="76">
        <v>800</v>
      </c>
      <c r="O1485" s="76">
        <v>440</v>
      </c>
      <c r="P1485" s="78">
        <v>0.45</v>
      </c>
    </row>
    <row r="1486" spans="7:16" x14ac:dyDescent="0.3">
      <c r="G1486" t="s">
        <v>3027</v>
      </c>
      <c r="H1486" s="76" t="s">
        <v>459</v>
      </c>
      <c r="I1486" s="76" t="s">
        <v>422</v>
      </c>
      <c r="J1486" s="76" t="s">
        <v>384</v>
      </c>
      <c r="K1486" s="76" t="s">
        <v>3028</v>
      </c>
      <c r="L1486" s="76" t="s">
        <v>391</v>
      </c>
      <c r="M1486" s="76" t="s">
        <v>977</v>
      </c>
      <c r="N1486" s="76">
        <v>30</v>
      </c>
      <c r="O1486" s="76">
        <v>28</v>
      </c>
      <c r="P1486" s="78">
        <v>6.6699999999999995E-2</v>
      </c>
    </row>
    <row r="1487" spans="7:16" x14ac:dyDescent="0.3">
      <c r="G1487" t="s">
        <v>3029</v>
      </c>
      <c r="H1487" s="76" t="s">
        <v>370</v>
      </c>
      <c r="I1487" s="76" t="s">
        <v>371</v>
      </c>
      <c r="J1487" s="76" t="s">
        <v>372</v>
      </c>
      <c r="K1487" s="77">
        <v>42494</v>
      </c>
      <c r="L1487" s="76" t="s">
        <v>475</v>
      </c>
      <c r="M1487" s="76" t="s">
        <v>374</v>
      </c>
      <c r="N1487" s="76">
        <v>250</v>
      </c>
      <c r="O1487" s="76">
        <v>213</v>
      </c>
      <c r="P1487" s="78">
        <v>0.14799999999999999</v>
      </c>
    </row>
    <row r="1488" spans="7:16" x14ac:dyDescent="0.3">
      <c r="G1488" t="s">
        <v>3030</v>
      </c>
      <c r="H1488" s="76" t="s">
        <v>464</v>
      </c>
      <c r="I1488" s="76" t="s">
        <v>465</v>
      </c>
      <c r="J1488" s="76" t="s">
        <v>366</v>
      </c>
      <c r="K1488" s="76" t="s">
        <v>2753</v>
      </c>
      <c r="L1488" s="76" t="s">
        <v>373</v>
      </c>
      <c r="M1488" s="76" t="s">
        <v>1688</v>
      </c>
      <c r="N1488" s="76">
        <v>700</v>
      </c>
      <c r="O1488" s="76">
        <v>665</v>
      </c>
      <c r="P1488" s="78">
        <v>0.05</v>
      </c>
    </row>
    <row r="1489" spans="7:16" x14ac:dyDescent="0.3">
      <c r="G1489" t="s">
        <v>3031</v>
      </c>
      <c r="H1489" s="76" t="s">
        <v>459</v>
      </c>
      <c r="I1489" s="76" t="s">
        <v>422</v>
      </c>
      <c r="J1489" s="76" t="s">
        <v>384</v>
      </c>
      <c r="K1489" s="76" t="s">
        <v>3032</v>
      </c>
      <c r="L1489" s="76" t="s">
        <v>424</v>
      </c>
      <c r="M1489" s="76" t="s">
        <v>2712</v>
      </c>
      <c r="N1489" s="76">
        <v>500</v>
      </c>
      <c r="O1489" s="76">
        <v>495</v>
      </c>
      <c r="P1489" s="78">
        <v>0.01</v>
      </c>
    </row>
    <row r="1490" spans="7:16" x14ac:dyDescent="0.3">
      <c r="G1490" t="s">
        <v>3033</v>
      </c>
      <c r="H1490" s="76" t="s">
        <v>454</v>
      </c>
      <c r="I1490" s="76" t="s">
        <v>455</v>
      </c>
      <c r="J1490" s="76" t="s">
        <v>360</v>
      </c>
      <c r="K1490" s="76" t="s">
        <v>2467</v>
      </c>
      <c r="L1490" s="76" t="s">
        <v>461</v>
      </c>
      <c r="M1490" s="76" t="s">
        <v>457</v>
      </c>
      <c r="N1490" s="76">
        <v>70</v>
      </c>
      <c r="O1490" s="76">
        <v>67</v>
      </c>
      <c r="P1490" s="78">
        <v>4.2900000000000001E-2</v>
      </c>
    </row>
    <row r="1491" spans="7:16" x14ac:dyDescent="0.3">
      <c r="G1491" t="s">
        <v>3034</v>
      </c>
      <c r="H1491" s="76" t="s">
        <v>656</v>
      </c>
      <c r="I1491" s="76" t="s">
        <v>657</v>
      </c>
      <c r="J1491" s="76" t="s">
        <v>360</v>
      </c>
      <c r="K1491" s="77">
        <v>41920</v>
      </c>
      <c r="L1491" s="76" t="s">
        <v>424</v>
      </c>
      <c r="M1491" s="76" t="s">
        <v>2005</v>
      </c>
      <c r="N1491" s="76">
        <v>500</v>
      </c>
      <c r="O1491" s="76">
        <v>490</v>
      </c>
      <c r="P1491" s="78">
        <v>0.02</v>
      </c>
    </row>
    <row r="1492" spans="7:16" x14ac:dyDescent="0.3">
      <c r="G1492" t="s">
        <v>3035</v>
      </c>
      <c r="H1492" s="76" t="s">
        <v>528</v>
      </c>
      <c r="I1492" s="76" t="s">
        <v>465</v>
      </c>
      <c r="J1492" s="76" t="s">
        <v>366</v>
      </c>
      <c r="K1492" s="76" t="s">
        <v>2805</v>
      </c>
      <c r="L1492" s="76" t="s">
        <v>424</v>
      </c>
      <c r="M1492" s="76" t="s">
        <v>530</v>
      </c>
      <c r="N1492" s="76">
        <v>500</v>
      </c>
      <c r="O1492" s="76">
        <v>495</v>
      </c>
      <c r="P1492" s="78">
        <v>0.01</v>
      </c>
    </row>
    <row r="1493" spans="7:16" x14ac:dyDescent="0.3">
      <c r="G1493" t="s">
        <v>3036</v>
      </c>
      <c r="H1493" s="76" t="s">
        <v>528</v>
      </c>
      <c r="I1493" s="76" t="s">
        <v>465</v>
      </c>
      <c r="J1493" s="76" t="s">
        <v>366</v>
      </c>
      <c r="K1493" s="77">
        <v>43232</v>
      </c>
      <c r="L1493" s="76" t="s">
        <v>373</v>
      </c>
      <c r="M1493" s="76" t="s">
        <v>1623</v>
      </c>
      <c r="N1493" s="76">
        <v>700</v>
      </c>
      <c r="O1493" s="76">
        <v>700</v>
      </c>
      <c r="P1493" s="78">
        <v>0</v>
      </c>
    </row>
    <row r="1494" spans="7:16" x14ac:dyDescent="0.3">
      <c r="G1494" t="s">
        <v>3037</v>
      </c>
      <c r="H1494" s="76" t="s">
        <v>409</v>
      </c>
      <c r="I1494" s="76" t="s">
        <v>410</v>
      </c>
      <c r="J1494" s="76" t="s">
        <v>360</v>
      </c>
      <c r="K1494" s="76" t="s">
        <v>2912</v>
      </c>
      <c r="L1494" s="76" t="s">
        <v>483</v>
      </c>
      <c r="M1494" s="76" t="s">
        <v>1356</v>
      </c>
      <c r="N1494" s="76">
        <v>50</v>
      </c>
      <c r="O1494" s="76">
        <v>43</v>
      </c>
      <c r="P1494" s="78">
        <v>0.14000000000000001</v>
      </c>
    </row>
    <row r="1495" spans="7:16" x14ac:dyDescent="0.3">
      <c r="G1495" t="s">
        <v>3038</v>
      </c>
      <c r="H1495" s="76" t="s">
        <v>364</v>
      </c>
      <c r="I1495" s="76" t="s">
        <v>365</v>
      </c>
      <c r="J1495" s="76" t="s">
        <v>366</v>
      </c>
      <c r="K1495" s="76" t="s">
        <v>1007</v>
      </c>
      <c r="L1495" s="76" t="s">
        <v>405</v>
      </c>
      <c r="M1495" s="76" t="s">
        <v>973</v>
      </c>
      <c r="N1495" s="76">
        <v>800</v>
      </c>
      <c r="O1495" s="76">
        <v>616</v>
      </c>
      <c r="P1495" s="78">
        <v>0.23</v>
      </c>
    </row>
    <row r="1496" spans="7:16" x14ac:dyDescent="0.3">
      <c r="G1496" t="s">
        <v>3039</v>
      </c>
      <c r="H1496" s="76" t="s">
        <v>494</v>
      </c>
      <c r="I1496" s="76" t="s">
        <v>465</v>
      </c>
      <c r="J1496" s="76" t="s">
        <v>366</v>
      </c>
      <c r="K1496" s="76" t="s">
        <v>3040</v>
      </c>
      <c r="L1496" s="76" t="s">
        <v>475</v>
      </c>
      <c r="M1496" s="76" t="s">
        <v>1373</v>
      </c>
      <c r="N1496" s="76">
        <v>250</v>
      </c>
      <c r="O1496" s="76">
        <v>245</v>
      </c>
      <c r="P1496" s="78">
        <v>0.02</v>
      </c>
    </row>
    <row r="1497" spans="7:16" x14ac:dyDescent="0.3">
      <c r="G1497" t="s">
        <v>3041</v>
      </c>
      <c r="H1497" s="76" t="s">
        <v>434</v>
      </c>
      <c r="I1497" s="76" t="s">
        <v>435</v>
      </c>
      <c r="J1497" s="76" t="s">
        <v>360</v>
      </c>
      <c r="K1497" s="76" t="s">
        <v>1196</v>
      </c>
      <c r="L1497" s="76" t="s">
        <v>475</v>
      </c>
      <c r="M1497" s="76" t="s">
        <v>577</v>
      </c>
      <c r="N1497" s="76">
        <v>250</v>
      </c>
      <c r="O1497" s="76">
        <v>223</v>
      </c>
      <c r="P1497" s="78">
        <v>0.108</v>
      </c>
    </row>
    <row r="1498" spans="7:16" x14ac:dyDescent="0.3">
      <c r="G1498" t="s">
        <v>3042</v>
      </c>
      <c r="H1498" s="76" t="s">
        <v>551</v>
      </c>
      <c r="I1498" s="76" t="s">
        <v>552</v>
      </c>
      <c r="J1498" s="76" t="s">
        <v>360</v>
      </c>
      <c r="K1498" s="76" t="s">
        <v>3043</v>
      </c>
      <c r="L1498" s="76" t="s">
        <v>361</v>
      </c>
      <c r="M1498" s="76" t="s">
        <v>2389</v>
      </c>
      <c r="N1498" s="76">
        <v>80</v>
      </c>
      <c r="O1498" s="76">
        <v>73</v>
      </c>
      <c r="P1498" s="78">
        <v>8.7499999999999994E-2</v>
      </c>
    </row>
    <row r="1499" spans="7:16" x14ac:dyDescent="0.3">
      <c r="G1499" t="s">
        <v>3044</v>
      </c>
      <c r="H1499" s="76" t="s">
        <v>454</v>
      </c>
      <c r="I1499" s="76" t="s">
        <v>455</v>
      </c>
      <c r="J1499" s="76" t="s">
        <v>360</v>
      </c>
      <c r="K1499" s="76" t="s">
        <v>1728</v>
      </c>
      <c r="L1499" s="76" t="s">
        <v>461</v>
      </c>
      <c r="M1499" s="76" t="s">
        <v>457</v>
      </c>
      <c r="N1499" s="76">
        <v>70</v>
      </c>
      <c r="O1499" s="76">
        <v>67</v>
      </c>
      <c r="P1499" s="78">
        <v>4.2900000000000001E-2</v>
      </c>
    </row>
    <row r="1500" spans="7:16" x14ac:dyDescent="0.3">
      <c r="G1500" t="s">
        <v>3045</v>
      </c>
      <c r="H1500" s="76" t="s">
        <v>449</v>
      </c>
      <c r="I1500" s="76" t="s">
        <v>450</v>
      </c>
      <c r="J1500" s="76" t="s">
        <v>360</v>
      </c>
      <c r="K1500" s="77">
        <v>41914</v>
      </c>
      <c r="L1500" s="76" t="s">
        <v>391</v>
      </c>
      <c r="M1500" s="76" t="s">
        <v>452</v>
      </c>
      <c r="N1500" s="76">
        <v>30</v>
      </c>
      <c r="O1500" s="76">
        <v>30</v>
      </c>
      <c r="P1500" s="78">
        <v>0</v>
      </c>
    </row>
    <row r="1501" spans="7:16" x14ac:dyDescent="0.3">
      <c r="G1501" t="s">
        <v>3046</v>
      </c>
      <c r="H1501" s="76" t="s">
        <v>494</v>
      </c>
      <c r="I1501" s="76" t="s">
        <v>465</v>
      </c>
      <c r="J1501" s="76" t="s">
        <v>366</v>
      </c>
      <c r="K1501" s="77">
        <v>42430</v>
      </c>
      <c r="L1501" s="76" t="s">
        <v>483</v>
      </c>
      <c r="M1501" s="76" t="s">
        <v>1041</v>
      </c>
      <c r="N1501" s="76">
        <v>50</v>
      </c>
      <c r="O1501" s="76">
        <v>49</v>
      </c>
      <c r="P1501" s="78">
        <v>0.02</v>
      </c>
    </row>
    <row r="1502" spans="7:16" x14ac:dyDescent="0.3">
      <c r="G1502" t="s">
        <v>3047</v>
      </c>
      <c r="H1502" s="76" t="s">
        <v>668</v>
      </c>
      <c r="I1502" s="76" t="s">
        <v>669</v>
      </c>
      <c r="J1502" s="76" t="s">
        <v>360</v>
      </c>
      <c r="K1502" s="76" t="s">
        <v>3048</v>
      </c>
      <c r="L1502" s="76" t="s">
        <v>424</v>
      </c>
      <c r="M1502" s="76" t="s">
        <v>804</v>
      </c>
      <c r="N1502" s="76">
        <v>500</v>
      </c>
      <c r="O1502" s="76">
        <v>495</v>
      </c>
      <c r="P1502" s="78">
        <v>0.01</v>
      </c>
    </row>
    <row r="1503" spans="7:16" x14ac:dyDescent="0.3">
      <c r="G1503" t="s">
        <v>3049</v>
      </c>
      <c r="H1503" s="76" t="s">
        <v>403</v>
      </c>
      <c r="I1503" s="76" t="s">
        <v>404</v>
      </c>
      <c r="J1503" s="76" t="s">
        <v>360</v>
      </c>
      <c r="K1503" s="76" t="s">
        <v>3050</v>
      </c>
      <c r="L1503" s="76" t="s">
        <v>396</v>
      </c>
      <c r="M1503" s="76" t="s">
        <v>1178</v>
      </c>
      <c r="N1503" s="76">
        <v>500</v>
      </c>
      <c r="O1503" s="76">
        <v>485</v>
      </c>
      <c r="P1503" s="78">
        <v>0.03</v>
      </c>
    </row>
    <row r="1504" spans="7:16" x14ac:dyDescent="0.3">
      <c r="G1504" t="s">
        <v>3051</v>
      </c>
      <c r="H1504" s="76" t="s">
        <v>560</v>
      </c>
      <c r="I1504" s="76" t="s">
        <v>465</v>
      </c>
      <c r="J1504" s="76" t="s">
        <v>366</v>
      </c>
      <c r="K1504" s="76" t="s">
        <v>1579</v>
      </c>
      <c r="L1504" s="76" t="s">
        <v>379</v>
      </c>
      <c r="M1504" s="76" t="s">
        <v>1592</v>
      </c>
      <c r="N1504" s="76">
        <v>150</v>
      </c>
      <c r="O1504" s="76">
        <v>116</v>
      </c>
      <c r="P1504" s="78">
        <v>0.22670000000000001</v>
      </c>
    </row>
    <row r="1505" spans="7:16" x14ac:dyDescent="0.3">
      <c r="G1505" t="s">
        <v>3052</v>
      </c>
      <c r="H1505" s="76" t="s">
        <v>364</v>
      </c>
      <c r="I1505" s="76" t="s">
        <v>365</v>
      </c>
      <c r="J1505" s="76" t="s">
        <v>366</v>
      </c>
      <c r="K1505" s="76" t="s">
        <v>1885</v>
      </c>
      <c r="L1505" s="76" t="s">
        <v>373</v>
      </c>
      <c r="M1505" s="76" t="s">
        <v>1454</v>
      </c>
      <c r="N1505" s="76">
        <v>700</v>
      </c>
      <c r="O1505" s="76">
        <v>658</v>
      </c>
      <c r="P1505" s="78">
        <v>0.06</v>
      </c>
    </row>
    <row r="1506" spans="7:16" x14ac:dyDescent="0.3">
      <c r="G1506" t="s">
        <v>3053</v>
      </c>
      <c r="H1506" s="76" t="s">
        <v>409</v>
      </c>
      <c r="I1506" s="76" t="s">
        <v>410</v>
      </c>
      <c r="J1506" s="76" t="s">
        <v>360</v>
      </c>
      <c r="K1506" s="76" t="s">
        <v>2326</v>
      </c>
      <c r="L1506" s="76" t="s">
        <v>391</v>
      </c>
      <c r="M1506" s="76" t="s">
        <v>2666</v>
      </c>
      <c r="N1506" s="76">
        <v>30</v>
      </c>
      <c r="O1506" s="76">
        <v>27</v>
      </c>
      <c r="P1506" s="78">
        <v>0.1</v>
      </c>
    </row>
    <row r="1507" spans="7:16" x14ac:dyDescent="0.3">
      <c r="G1507" t="s">
        <v>3054</v>
      </c>
      <c r="H1507" s="76" t="s">
        <v>358</v>
      </c>
      <c r="I1507" s="76" t="s">
        <v>359</v>
      </c>
      <c r="J1507" s="76" t="s">
        <v>360</v>
      </c>
      <c r="K1507" s="76" t="s">
        <v>3055</v>
      </c>
      <c r="L1507" s="76" t="s">
        <v>405</v>
      </c>
      <c r="M1507" s="76" t="s">
        <v>501</v>
      </c>
      <c r="N1507" s="76">
        <v>800</v>
      </c>
      <c r="O1507" s="76">
        <v>608</v>
      </c>
      <c r="P1507" s="78">
        <v>0.24</v>
      </c>
    </row>
    <row r="1508" spans="7:16" x14ac:dyDescent="0.3">
      <c r="G1508" t="s">
        <v>3056</v>
      </c>
      <c r="H1508" s="76" t="s">
        <v>485</v>
      </c>
      <c r="I1508" s="76" t="s">
        <v>389</v>
      </c>
      <c r="J1508" s="76" t="s">
        <v>384</v>
      </c>
      <c r="K1508" s="77">
        <v>42494</v>
      </c>
      <c r="L1508" s="76" t="s">
        <v>385</v>
      </c>
      <c r="M1508" s="76" t="s">
        <v>487</v>
      </c>
      <c r="N1508" s="76">
        <v>50</v>
      </c>
      <c r="O1508" s="76">
        <v>49</v>
      </c>
      <c r="P1508" s="78">
        <v>0.02</v>
      </c>
    </row>
    <row r="1509" spans="7:16" x14ac:dyDescent="0.3">
      <c r="G1509" t="s">
        <v>3057</v>
      </c>
      <c r="H1509" s="76" t="s">
        <v>591</v>
      </c>
      <c r="I1509" s="76" t="s">
        <v>592</v>
      </c>
      <c r="J1509" s="76" t="s">
        <v>372</v>
      </c>
      <c r="K1509" s="77">
        <v>42623</v>
      </c>
      <c r="L1509" s="76" t="s">
        <v>361</v>
      </c>
      <c r="M1509" s="76" t="s">
        <v>2791</v>
      </c>
      <c r="N1509" s="76">
        <v>80</v>
      </c>
      <c r="O1509" s="76">
        <v>69</v>
      </c>
      <c r="P1509" s="78">
        <v>0.13750000000000001</v>
      </c>
    </row>
    <row r="1510" spans="7:16" x14ac:dyDescent="0.3">
      <c r="G1510" t="s">
        <v>3058</v>
      </c>
      <c r="H1510" s="76" t="s">
        <v>675</v>
      </c>
      <c r="I1510" s="76" t="s">
        <v>676</v>
      </c>
      <c r="J1510" s="76" t="s">
        <v>384</v>
      </c>
      <c r="K1510" s="77">
        <v>42095</v>
      </c>
      <c r="L1510" s="76" t="s">
        <v>461</v>
      </c>
      <c r="M1510" s="76" t="s">
        <v>1266</v>
      </c>
      <c r="N1510" s="76">
        <v>70</v>
      </c>
      <c r="O1510" s="76">
        <v>64</v>
      </c>
      <c r="P1510" s="78">
        <v>8.5699999999999998E-2</v>
      </c>
    </row>
    <row r="1511" spans="7:16" x14ac:dyDescent="0.3">
      <c r="G1511" t="s">
        <v>3059</v>
      </c>
      <c r="H1511" s="76" t="s">
        <v>409</v>
      </c>
      <c r="I1511" s="76" t="s">
        <v>410</v>
      </c>
      <c r="J1511" s="76" t="s">
        <v>360</v>
      </c>
      <c r="K1511" s="76" t="s">
        <v>2679</v>
      </c>
      <c r="L1511" s="76" t="s">
        <v>391</v>
      </c>
      <c r="M1511" s="76" t="s">
        <v>733</v>
      </c>
      <c r="N1511" s="76">
        <v>30</v>
      </c>
      <c r="O1511" s="76">
        <v>27</v>
      </c>
      <c r="P1511" s="78">
        <v>0.1</v>
      </c>
    </row>
    <row r="1512" spans="7:16" x14ac:dyDescent="0.3">
      <c r="G1512" t="s">
        <v>3060</v>
      </c>
      <c r="H1512" s="76" t="s">
        <v>449</v>
      </c>
      <c r="I1512" s="76" t="s">
        <v>450</v>
      </c>
      <c r="J1512" s="76" t="s">
        <v>360</v>
      </c>
      <c r="K1512" s="76" t="s">
        <v>3061</v>
      </c>
      <c r="L1512" s="76" t="s">
        <v>396</v>
      </c>
      <c r="M1512" s="76" t="s">
        <v>759</v>
      </c>
      <c r="N1512" s="76">
        <v>500</v>
      </c>
      <c r="O1512" s="76">
        <v>500</v>
      </c>
      <c r="P1512" s="78">
        <v>0</v>
      </c>
    </row>
    <row r="1513" spans="7:16" x14ac:dyDescent="0.3">
      <c r="G1513" t="s">
        <v>3062</v>
      </c>
      <c r="H1513" s="76" t="s">
        <v>668</v>
      </c>
      <c r="I1513" s="76" t="s">
        <v>669</v>
      </c>
      <c r="J1513" s="76" t="s">
        <v>360</v>
      </c>
      <c r="K1513" s="77">
        <v>41800</v>
      </c>
      <c r="L1513" s="76" t="s">
        <v>361</v>
      </c>
      <c r="M1513" s="76" t="s">
        <v>1115</v>
      </c>
      <c r="N1513" s="76">
        <v>80</v>
      </c>
      <c r="O1513" s="76">
        <v>60</v>
      </c>
      <c r="P1513" s="78">
        <v>0.25</v>
      </c>
    </row>
    <row r="1514" spans="7:16" x14ac:dyDescent="0.3">
      <c r="G1514" t="s">
        <v>3063</v>
      </c>
      <c r="H1514" s="76" t="s">
        <v>434</v>
      </c>
      <c r="I1514" s="76" t="s">
        <v>435</v>
      </c>
      <c r="J1514" s="76" t="s">
        <v>360</v>
      </c>
      <c r="K1514" s="76" t="s">
        <v>2270</v>
      </c>
      <c r="L1514" s="76" t="s">
        <v>373</v>
      </c>
      <c r="M1514" s="76" t="s">
        <v>827</v>
      </c>
      <c r="N1514" s="76">
        <v>700</v>
      </c>
      <c r="O1514" s="76">
        <v>637</v>
      </c>
      <c r="P1514" s="78">
        <v>0.09</v>
      </c>
    </row>
    <row r="1515" spans="7:16" x14ac:dyDescent="0.3">
      <c r="G1515" t="s">
        <v>3064</v>
      </c>
      <c r="H1515" s="76" t="s">
        <v>497</v>
      </c>
      <c r="I1515" s="76" t="s">
        <v>445</v>
      </c>
      <c r="J1515" s="76" t="s">
        <v>384</v>
      </c>
      <c r="K1515" s="76" t="s">
        <v>3065</v>
      </c>
      <c r="L1515" s="76" t="s">
        <v>475</v>
      </c>
      <c r="M1515" s="76" t="s">
        <v>1392</v>
      </c>
      <c r="N1515" s="76">
        <v>250</v>
      </c>
      <c r="O1515" s="76">
        <v>178</v>
      </c>
      <c r="P1515" s="78">
        <v>0.28799999999999998</v>
      </c>
    </row>
    <row r="1516" spans="7:16" x14ac:dyDescent="0.3">
      <c r="G1516" t="s">
        <v>3066</v>
      </c>
      <c r="H1516" s="76" t="s">
        <v>547</v>
      </c>
      <c r="I1516" s="76" t="s">
        <v>548</v>
      </c>
      <c r="J1516" s="76" t="s">
        <v>360</v>
      </c>
      <c r="K1516" s="76" t="s">
        <v>1466</v>
      </c>
      <c r="L1516" s="76" t="s">
        <v>424</v>
      </c>
      <c r="M1516" s="76" t="s">
        <v>549</v>
      </c>
      <c r="N1516" s="76">
        <v>500</v>
      </c>
      <c r="O1516" s="76">
        <v>500</v>
      </c>
      <c r="P1516" s="78">
        <v>0</v>
      </c>
    </row>
    <row r="1517" spans="7:16" x14ac:dyDescent="0.3">
      <c r="G1517" t="s">
        <v>3067</v>
      </c>
      <c r="H1517" s="76" t="s">
        <v>469</v>
      </c>
      <c r="I1517" s="76" t="s">
        <v>435</v>
      </c>
      <c r="J1517" s="76" t="s">
        <v>360</v>
      </c>
      <c r="K1517" s="77">
        <v>42979</v>
      </c>
      <c r="L1517" s="76" t="s">
        <v>385</v>
      </c>
      <c r="M1517" s="76" t="s">
        <v>2555</v>
      </c>
      <c r="N1517" s="76">
        <v>50</v>
      </c>
      <c r="O1517" s="76">
        <v>47</v>
      </c>
      <c r="P1517" s="78">
        <v>0.06</v>
      </c>
    </row>
    <row r="1518" spans="7:16" x14ac:dyDescent="0.3">
      <c r="G1518" t="s">
        <v>3068</v>
      </c>
      <c r="H1518" s="76" t="s">
        <v>454</v>
      </c>
      <c r="I1518" s="76" t="s">
        <v>455</v>
      </c>
      <c r="J1518" s="76" t="s">
        <v>360</v>
      </c>
      <c r="K1518" s="76" t="s">
        <v>3069</v>
      </c>
      <c r="L1518" s="76" t="s">
        <v>396</v>
      </c>
      <c r="M1518" s="76" t="s">
        <v>1318</v>
      </c>
      <c r="N1518" s="76">
        <v>500</v>
      </c>
      <c r="O1518" s="76">
        <v>405</v>
      </c>
      <c r="P1518" s="78">
        <v>0.19</v>
      </c>
    </row>
    <row r="1519" spans="7:16" x14ac:dyDescent="0.3">
      <c r="G1519" t="s">
        <v>3070</v>
      </c>
      <c r="H1519" s="76" t="s">
        <v>519</v>
      </c>
      <c r="I1519" s="76" t="s">
        <v>520</v>
      </c>
      <c r="J1519" s="76" t="s">
        <v>360</v>
      </c>
      <c r="K1519" s="77">
        <v>42806</v>
      </c>
      <c r="L1519" s="76" t="s">
        <v>475</v>
      </c>
      <c r="M1519" s="76" t="s">
        <v>1343</v>
      </c>
      <c r="N1519" s="76">
        <v>250</v>
      </c>
      <c r="O1519" s="76">
        <v>245</v>
      </c>
      <c r="P1519" s="78">
        <v>0.02</v>
      </c>
    </row>
    <row r="1520" spans="7:16" x14ac:dyDescent="0.3">
      <c r="G1520" t="s">
        <v>3071</v>
      </c>
      <c r="H1520" s="76" t="s">
        <v>747</v>
      </c>
      <c r="I1520" s="76" t="s">
        <v>748</v>
      </c>
      <c r="J1520" s="76" t="s">
        <v>360</v>
      </c>
      <c r="K1520" s="76" t="s">
        <v>535</v>
      </c>
      <c r="L1520" s="76" t="s">
        <v>361</v>
      </c>
      <c r="M1520" s="76" t="s">
        <v>1662</v>
      </c>
      <c r="N1520" s="76">
        <v>80</v>
      </c>
      <c r="O1520" s="76">
        <v>78</v>
      </c>
      <c r="P1520" s="78">
        <v>2.5000000000000001E-2</v>
      </c>
    </row>
    <row r="1521" spans="7:16" x14ac:dyDescent="0.3">
      <c r="G1521" t="s">
        <v>3072</v>
      </c>
      <c r="H1521" s="76" t="s">
        <v>591</v>
      </c>
      <c r="I1521" s="76" t="s">
        <v>592</v>
      </c>
      <c r="J1521" s="76" t="s">
        <v>372</v>
      </c>
      <c r="K1521" s="76" t="s">
        <v>3073</v>
      </c>
      <c r="L1521" s="76" t="s">
        <v>396</v>
      </c>
      <c r="M1521" s="76" t="s">
        <v>1197</v>
      </c>
      <c r="N1521" s="76">
        <v>500</v>
      </c>
      <c r="O1521" s="76">
        <v>345</v>
      </c>
      <c r="P1521" s="78">
        <v>0.31</v>
      </c>
    </row>
    <row r="1522" spans="7:16" x14ac:dyDescent="0.3">
      <c r="G1522" t="s">
        <v>3074</v>
      </c>
      <c r="H1522" s="76" t="s">
        <v>591</v>
      </c>
      <c r="I1522" s="76" t="s">
        <v>592</v>
      </c>
      <c r="J1522" s="76" t="s">
        <v>372</v>
      </c>
      <c r="K1522" s="76" t="s">
        <v>1169</v>
      </c>
      <c r="L1522" s="76" t="s">
        <v>411</v>
      </c>
      <c r="M1522" s="76" t="s">
        <v>1160</v>
      </c>
      <c r="N1522" s="76">
        <v>1000</v>
      </c>
      <c r="O1522" s="76">
        <v>590</v>
      </c>
      <c r="P1522" s="78">
        <v>0.41</v>
      </c>
    </row>
    <row r="1523" spans="7:16" x14ac:dyDescent="0.3">
      <c r="G1523" t="s">
        <v>3075</v>
      </c>
      <c r="H1523" s="76" t="s">
        <v>514</v>
      </c>
      <c r="I1523" s="76" t="s">
        <v>515</v>
      </c>
      <c r="J1523" s="76" t="s">
        <v>360</v>
      </c>
      <c r="K1523" s="76" t="s">
        <v>1217</v>
      </c>
      <c r="L1523" s="76" t="s">
        <v>475</v>
      </c>
      <c r="M1523" s="76" t="s">
        <v>792</v>
      </c>
      <c r="N1523" s="76">
        <v>250</v>
      </c>
      <c r="O1523" s="76">
        <v>238</v>
      </c>
      <c r="P1523" s="78">
        <v>4.8000000000000001E-2</v>
      </c>
    </row>
    <row r="1524" spans="7:16" x14ac:dyDescent="0.3">
      <c r="G1524" t="s">
        <v>3076</v>
      </c>
      <c r="H1524" s="76" t="s">
        <v>514</v>
      </c>
      <c r="I1524" s="76" t="s">
        <v>515</v>
      </c>
      <c r="J1524" s="76" t="s">
        <v>360</v>
      </c>
      <c r="K1524" s="76" t="s">
        <v>2009</v>
      </c>
      <c r="L1524" s="76" t="s">
        <v>373</v>
      </c>
      <c r="M1524" s="76" t="s">
        <v>2094</v>
      </c>
      <c r="N1524" s="76">
        <v>700</v>
      </c>
      <c r="O1524" s="76">
        <v>672</v>
      </c>
      <c r="P1524" s="78">
        <v>0.04</v>
      </c>
    </row>
    <row r="1525" spans="7:16" x14ac:dyDescent="0.3">
      <c r="G1525" t="s">
        <v>3077</v>
      </c>
      <c r="H1525" s="76" t="s">
        <v>514</v>
      </c>
      <c r="I1525" s="76" t="s">
        <v>515</v>
      </c>
      <c r="J1525" s="76" t="s">
        <v>360</v>
      </c>
      <c r="K1525" s="76" t="s">
        <v>3078</v>
      </c>
      <c r="L1525" s="76" t="s">
        <v>424</v>
      </c>
      <c r="M1525" s="76" t="s">
        <v>2505</v>
      </c>
      <c r="N1525" s="76">
        <v>500</v>
      </c>
      <c r="O1525" s="76">
        <v>500</v>
      </c>
      <c r="P1525" s="78">
        <v>0</v>
      </c>
    </row>
    <row r="1526" spans="7:16" x14ac:dyDescent="0.3">
      <c r="G1526" t="s">
        <v>3079</v>
      </c>
      <c r="H1526" s="76" t="s">
        <v>382</v>
      </c>
      <c r="I1526" s="76" t="s">
        <v>383</v>
      </c>
      <c r="J1526" s="76" t="s">
        <v>384</v>
      </c>
      <c r="K1526" s="76" t="s">
        <v>3080</v>
      </c>
      <c r="L1526" s="76" t="s">
        <v>424</v>
      </c>
      <c r="M1526" s="76" t="s">
        <v>1839</v>
      </c>
      <c r="N1526" s="76">
        <v>500</v>
      </c>
      <c r="O1526" s="76">
        <v>495</v>
      </c>
      <c r="P1526" s="78">
        <v>0.01</v>
      </c>
    </row>
    <row r="1527" spans="7:16" x14ac:dyDescent="0.3">
      <c r="G1527" t="s">
        <v>3081</v>
      </c>
      <c r="H1527" s="76" t="s">
        <v>478</v>
      </c>
      <c r="I1527" s="76" t="s">
        <v>479</v>
      </c>
      <c r="J1527" s="76" t="s">
        <v>384</v>
      </c>
      <c r="K1527" s="76" t="s">
        <v>2730</v>
      </c>
      <c r="L1527" s="76" t="s">
        <v>391</v>
      </c>
      <c r="M1527" s="76" t="s">
        <v>480</v>
      </c>
      <c r="N1527" s="76">
        <v>30</v>
      </c>
      <c r="O1527" s="76">
        <v>29</v>
      </c>
      <c r="P1527" s="78">
        <v>3.3300000000000003E-2</v>
      </c>
    </row>
    <row r="1528" spans="7:16" x14ac:dyDescent="0.3">
      <c r="G1528" t="s">
        <v>3082</v>
      </c>
      <c r="H1528" s="76" t="s">
        <v>382</v>
      </c>
      <c r="I1528" s="76" t="s">
        <v>383</v>
      </c>
      <c r="J1528" s="76" t="s">
        <v>384</v>
      </c>
      <c r="K1528" s="76" t="s">
        <v>1175</v>
      </c>
      <c r="L1528" s="76" t="s">
        <v>361</v>
      </c>
      <c r="M1528" s="76" t="s">
        <v>580</v>
      </c>
      <c r="N1528" s="76">
        <v>80</v>
      </c>
      <c r="O1528" s="76">
        <v>55</v>
      </c>
      <c r="P1528" s="78">
        <v>0.3125</v>
      </c>
    </row>
    <row r="1529" spans="7:16" x14ac:dyDescent="0.3">
      <c r="G1529" t="s">
        <v>3083</v>
      </c>
      <c r="H1529" s="76" t="s">
        <v>421</v>
      </c>
      <c r="I1529" s="76" t="s">
        <v>422</v>
      </c>
      <c r="J1529" s="76" t="s">
        <v>384</v>
      </c>
      <c r="K1529" s="76" t="s">
        <v>1782</v>
      </c>
      <c r="L1529" s="76" t="s">
        <v>405</v>
      </c>
      <c r="M1529" s="76" t="s">
        <v>509</v>
      </c>
      <c r="N1529" s="76">
        <v>800</v>
      </c>
      <c r="O1529" s="76">
        <v>608</v>
      </c>
      <c r="P1529" s="78">
        <v>0.24</v>
      </c>
    </row>
    <row r="1530" spans="7:16" x14ac:dyDescent="0.3">
      <c r="G1530" t="s">
        <v>3084</v>
      </c>
      <c r="H1530" s="76" t="s">
        <v>494</v>
      </c>
      <c r="I1530" s="76" t="s">
        <v>465</v>
      </c>
      <c r="J1530" s="76" t="s">
        <v>366</v>
      </c>
      <c r="K1530" s="77">
        <v>42282</v>
      </c>
      <c r="L1530" s="76" t="s">
        <v>391</v>
      </c>
      <c r="M1530" s="76" t="s">
        <v>673</v>
      </c>
      <c r="N1530" s="76">
        <v>30</v>
      </c>
      <c r="O1530" s="76">
        <v>22</v>
      </c>
      <c r="P1530" s="78">
        <v>0.26669999999999999</v>
      </c>
    </row>
    <row r="1531" spans="7:16" x14ac:dyDescent="0.3">
      <c r="G1531" t="s">
        <v>3085</v>
      </c>
      <c r="H1531" s="76" t="s">
        <v>388</v>
      </c>
      <c r="I1531" s="76" t="s">
        <v>389</v>
      </c>
      <c r="J1531" s="76" t="s">
        <v>384</v>
      </c>
      <c r="K1531" s="76" t="s">
        <v>2415</v>
      </c>
      <c r="L1531" s="76" t="s">
        <v>361</v>
      </c>
      <c r="M1531" s="76" t="s">
        <v>2348</v>
      </c>
      <c r="N1531" s="76">
        <v>80</v>
      </c>
      <c r="O1531" s="76">
        <v>69</v>
      </c>
      <c r="P1531" s="78">
        <v>0.13750000000000001</v>
      </c>
    </row>
    <row r="1532" spans="7:16" x14ac:dyDescent="0.3">
      <c r="G1532" t="s">
        <v>3086</v>
      </c>
      <c r="H1532" s="76" t="s">
        <v>459</v>
      </c>
      <c r="I1532" s="76" t="s">
        <v>422</v>
      </c>
      <c r="J1532" s="76" t="s">
        <v>384</v>
      </c>
      <c r="K1532" s="77">
        <v>42705</v>
      </c>
      <c r="L1532" s="76" t="s">
        <v>373</v>
      </c>
      <c r="M1532" s="76" t="s">
        <v>977</v>
      </c>
      <c r="N1532" s="76">
        <v>700</v>
      </c>
      <c r="O1532" s="76">
        <v>665</v>
      </c>
      <c r="P1532" s="78">
        <v>0.05</v>
      </c>
    </row>
    <row r="1533" spans="7:16" x14ac:dyDescent="0.3">
      <c r="G1533" t="s">
        <v>3087</v>
      </c>
      <c r="H1533" s="76" t="s">
        <v>376</v>
      </c>
      <c r="I1533" s="76" t="s">
        <v>377</v>
      </c>
      <c r="J1533" s="76" t="s">
        <v>360</v>
      </c>
      <c r="K1533" s="76" t="s">
        <v>3088</v>
      </c>
      <c r="L1533" s="76" t="s">
        <v>391</v>
      </c>
      <c r="M1533" s="76" t="s">
        <v>1796</v>
      </c>
      <c r="N1533" s="76">
        <v>30</v>
      </c>
      <c r="O1533" s="76">
        <v>28</v>
      </c>
      <c r="P1533" s="78">
        <v>6.6699999999999995E-2</v>
      </c>
    </row>
    <row r="1534" spans="7:16" x14ac:dyDescent="0.3">
      <c r="G1534" t="s">
        <v>3089</v>
      </c>
      <c r="H1534" s="76" t="s">
        <v>464</v>
      </c>
      <c r="I1534" s="76" t="s">
        <v>465</v>
      </c>
      <c r="J1534" s="76" t="s">
        <v>366</v>
      </c>
      <c r="K1534" s="76" t="s">
        <v>640</v>
      </c>
      <c r="L1534" s="76" t="s">
        <v>405</v>
      </c>
      <c r="M1534" s="76" t="s">
        <v>1407</v>
      </c>
      <c r="N1534" s="76">
        <v>800</v>
      </c>
      <c r="O1534" s="76">
        <v>464</v>
      </c>
      <c r="P1534" s="78">
        <v>0.42</v>
      </c>
    </row>
    <row r="1535" spans="7:16" x14ac:dyDescent="0.3">
      <c r="G1535" t="s">
        <v>3090</v>
      </c>
      <c r="H1535" s="76" t="s">
        <v>464</v>
      </c>
      <c r="I1535" s="76" t="s">
        <v>465</v>
      </c>
      <c r="J1535" s="76" t="s">
        <v>366</v>
      </c>
      <c r="K1535" s="77">
        <v>42803</v>
      </c>
      <c r="L1535" s="76" t="s">
        <v>405</v>
      </c>
      <c r="M1535" s="76" t="s">
        <v>786</v>
      </c>
      <c r="N1535" s="76">
        <v>800</v>
      </c>
      <c r="O1535" s="76">
        <v>584</v>
      </c>
      <c r="P1535" s="78">
        <v>0.27</v>
      </c>
    </row>
    <row r="1536" spans="7:16" x14ac:dyDescent="0.3">
      <c r="G1536" t="s">
        <v>3091</v>
      </c>
      <c r="H1536" s="76" t="s">
        <v>519</v>
      </c>
      <c r="I1536" s="76" t="s">
        <v>520</v>
      </c>
      <c r="J1536" s="76" t="s">
        <v>360</v>
      </c>
      <c r="K1536" s="76" t="s">
        <v>697</v>
      </c>
      <c r="L1536" s="76" t="s">
        <v>373</v>
      </c>
      <c r="M1536" s="76" t="s">
        <v>3092</v>
      </c>
      <c r="N1536" s="76">
        <v>700</v>
      </c>
      <c r="O1536" s="76">
        <v>686</v>
      </c>
      <c r="P1536" s="78">
        <v>0.02</v>
      </c>
    </row>
    <row r="1537" spans="7:16" x14ac:dyDescent="0.3">
      <c r="G1537" t="s">
        <v>3093</v>
      </c>
      <c r="H1537" s="76" t="s">
        <v>382</v>
      </c>
      <c r="I1537" s="76" t="s">
        <v>383</v>
      </c>
      <c r="J1537" s="76" t="s">
        <v>384</v>
      </c>
      <c r="K1537" s="77">
        <v>43288</v>
      </c>
      <c r="L1537" s="76" t="s">
        <v>475</v>
      </c>
      <c r="M1537" s="76" t="s">
        <v>1839</v>
      </c>
      <c r="N1537" s="76">
        <v>250</v>
      </c>
      <c r="O1537" s="76">
        <v>213</v>
      </c>
      <c r="P1537" s="78">
        <v>0.14799999999999999</v>
      </c>
    </row>
    <row r="1538" spans="7:16" x14ac:dyDescent="0.3">
      <c r="G1538" t="s">
        <v>3094</v>
      </c>
      <c r="H1538" s="76" t="s">
        <v>494</v>
      </c>
      <c r="I1538" s="76" t="s">
        <v>465</v>
      </c>
      <c r="J1538" s="76" t="s">
        <v>366</v>
      </c>
      <c r="K1538" s="77">
        <v>42959</v>
      </c>
      <c r="L1538" s="76" t="s">
        <v>396</v>
      </c>
      <c r="M1538" s="76" t="s">
        <v>600</v>
      </c>
      <c r="N1538" s="76">
        <v>500</v>
      </c>
      <c r="O1538" s="76">
        <v>470</v>
      </c>
      <c r="P1538" s="78">
        <v>0.06</v>
      </c>
    </row>
    <row r="1539" spans="7:16" x14ac:dyDescent="0.3">
      <c r="G1539" t="s">
        <v>3095</v>
      </c>
      <c r="H1539" s="76" t="s">
        <v>454</v>
      </c>
      <c r="I1539" s="76" t="s">
        <v>455</v>
      </c>
      <c r="J1539" s="76" t="s">
        <v>360</v>
      </c>
      <c r="K1539" s="77">
        <v>41948</v>
      </c>
      <c r="L1539" s="76" t="s">
        <v>405</v>
      </c>
      <c r="M1539" s="76" t="s">
        <v>1529</v>
      </c>
      <c r="N1539" s="76">
        <v>800</v>
      </c>
      <c r="O1539" s="76">
        <v>664</v>
      </c>
      <c r="P1539" s="78">
        <v>0.17</v>
      </c>
    </row>
    <row r="1540" spans="7:16" x14ac:dyDescent="0.3">
      <c r="G1540" t="s">
        <v>3096</v>
      </c>
      <c r="H1540" s="76" t="s">
        <v>675</v>
      </c>
      <c r="I1540" s="76" t="s">
        <v>676</v>
      </c>
      <c r="J1540" s="76" t="s">
        <v>384</v>
      </c>
      <c r="K1540" s="77">
        <v>41945</v>
      </c>
      <c r="L1540" s="76" t="s">
        <v>424</v>
      </c>
      <c r="M1540" s="76" t="s">
        <v>1266</v>
      </c>
      <c r="N1540" s="76">
        <v>500</v>
      </c>
      <c r="O1540" s="76">
        <v>495</v>
      </c>
      <c r="P1540" s="78">
        <v>0.01</v>
      </c>
    </row>
    <row r="1541" spans="7:16" x14ac:dyDescent="0.3">
      <c r="G1541" t="s">
        <v>3097</v>
      </c>
      <c r="H1541" s="76" t="s">
        <v>388</v>
      </c>
      <c r="I1541" s="76" t="s">
        <v>389</v>
      </c>
      <c r="J1541" s="76" t="s">
        <v>384</v>
      </c>
      <c r="K1541" s="77">
        <v>42438</v>
      </c>
      <c r="L1541" s="76" t="s">
        <v>361</v>
      </c>
      <c r="M1541" s="76" t="s">
        <v>2803</v>
      </c>
      <c r="N1541" s="76">
        <v>80</v>
      </c>
      <c r="O1541" s="76">
        <v>72</v>
      </c>
      <c r="P1541" s="78">
        <v>0.1</v>
      </c>
    </row>
    <row r="1542" spans="7:16" x14ac:dyDescent="0.3">
      <c r="G1542" t="s">
        <v>3098</v>
      </c>
      <c r="H1542" s="76" t="s">
        <v>497</v>
      </c>
      <c r="I1542" s="76" t="s">
        <v>445</v>
      </c>
      <c r="J1542" s="76" t="s">
        <v>384</v>
      </c>
      <c r="K1542" s="77">
        <v>43109</v>
      </c>
      <c r="L1542" s="76" t="s">
        <v>461</v>
      </c>
      <c r="M1542" s="76" t="s">
        <v>1734</v>
      </c>
      <c r="N1542" s="76">
        <v>70</v>
      </c>
      <c r="O1542" s="76">
        <v>65</v>
      </c>
      <c r="P1542" s="78">
        <v>7.1400000000000005E-2</v>
      </c>
    </row>
    <row r="1543" spans="7:16" x14ac:dyDescent="0.3">
      <c r="G1543" t="s">
        <v>3099</v>
      </c>
      <c r="H1543" s="76" t="s">
        <v>429</v>
      </c>
      <c r="I1543" s="76" t="s">
        <v>430</v>
      </c>
      <c r="J1543" s="76" t="s">
        <v>384</v>
      </c>
      <c r="K1543" s="76" t="s">
        <v>2442</v>
      </c>
      <c r="L1543" s="76" t="s">
        <v>475</v>
      </c>
      <c r="M1543" s="76" t="s">
        <v>2681</v>
      </c>
      <c r="N1543" s="76">
        <v>250</v>
      </c>
      <c r="O1543" s="76">
        <v>163</v>
      </c>
      <c r="P1543" s="78">
        <v>0.34799999999999998</v>
      </c>
    </row>
    <row r="1544" spans="7:16" x14ac:dyDescent="0.3">
      <c r="G1544" t="s">
        <v>3100</v>
      </c>
      <c r="H1544" s="76" t="s">
        <v>454</v>
      </c>
      <c r="I1544" s="76" t="s">
        <v>455</v>
      </c>
      <c r="J1544" s="76" t="s">
        <v>360</v>
      </c>
      <c r="K1544" s="77">
        <v>43446</v>
      </c>
      <c r="L1544" s="76" t="s">
        <v>424</v>
      </c>
      <c r="M1544" s="76" t="s">
        <v>2725</v>
      </c>
      <c r="N1544" s="76">
        <v>500</v>
      </c>
      <c r="O1544" s="76">
        <v>500</v>
      </c>
      <c r="P1544" s="78">
        <v>0</v>
      </c>
    </row>
    <row r="1545" spans="7:16" x14ac:dyDescent="0.3">
      <c r="G1545" t="s">
        <v>3101</v>
      </c>
      <c r="H1545" s="76" t="s">
        <v>485</v>
      </c>
      <c r="I1545" s="76" t="s">
        <v>389</v>
      </c>
      <c r="J1545" s="76" t="s">
        <v>384</v>
      </c>
      <c r="K1545" s="77">
        <v>42157</v>
      </c>
      <c r="L1545" s="76" t="s">
        <v>373</v>
      </c>
      <c r="M1545" s="76" t="s">
        <v>1467</v>
      </c>
      <c r="N1545" s="76">
        <v>700</v>
      </c>
      <c r="O1545" s="76">
        <v>448</v>
      </c>
      <c r="P1545" s="78">
        <v>0.36</v>
      </c>
    </row>
    <row r="1546" spans="7:16" x14ac:dyDescent="0.3">
      <c r="G1546" t="s">
        <v>3102</v>
      </c>
      <c r="H1546" s="76" t="s">
        <v>434</v>
      </c>
      <c r="I1546" s="76" t="s">
        <v>435</v>
      </c>
      <c r="J1546" s="76" t="s">
        <v>360</v>
      </c>
      <c r="K1546" s="76" t="s">
        <v>535</v>
      </c>
      <c r="L1546" s="76" t="s">
        <v>405</v>
      </c>
      <c r="M1546" s="76" t="s">
        <v>1955</v>
      </c>
      <c r="N1546" s="76">
        <v>800</v>
      </c>
      <c r="O1546" s="76">
        <v>496</v>
      </c>
      <c r="P1546" s="78">
        <v>0.38</v>
      </c>
    </row>
    <row r="1547" spans="7:16" x14ac:dyDescent="0.3">
      <c r="G1547" t="s">
        <v>3103</v>
      </c>
      <c r="H1547" s="76" t="s">
        <v>469</v>
      </c>
      <c r="I1547" s="76" t="s">
        <v>435</v>
      </c>
      <c r="J1547" s="76" t="s">
        <v>360</v>
      </c>
      <c r="K1547" s="76" t="s">
        <v>1967</v>
      </c>
      <c r="L1547" s="76" t="s">
        <v>391</v>
      </c>
      <c r="M1547" s="76" t="s">
        <v>2213</v>
      </c>
      <c r="N1547" s="76">
        <v>30</v>
      </c>
      <c r="O1547" s="76">
        <v>30</v>
      </c>
      <c r="P1547" s="78">
        <v>0</v>
      </c>
    </row>
    <row r="1548" spans="7:16" x14ac:dyDescent="0.3">
      <c r="G1548" t="s">
        <v>3104</v>
      </c>
      <c r="H1548" s="76" t="s">
        <v>700</v>
      </c>
      <c r="I1548" s="76" t="s">
        <v>465</v>
      </c>
      <c r="J1548" s="76" t="s">
        <v>366</v>
      </c>
      <c r="K1548" s="76" t="s">
        <v>1191</v>
      </c>
      <c r="L1548" s="76" t="s">
        <v>475</v>
      </c>
      <c r="M1548" s="76" t="s">
        <v>1520</v>
      </c>
      <c r="N1548" s="76">
        <v>250</v>
      </c>
      <c r="O1548" s="76">
        <v>245</v>
      </c>
      <c r="P1548" s="78">
        <v>0.02</v>
      </c>
    </row>
    <row r="1549" spans="7:16" x14ac:dyDescent="0.3">
      <c r="G1549" t="s">
        <v>3105</v>
      </c>
      <c r="H1549" s="76" t="s">
        <v>364</v>
      </c>
      <c r="I1549" s="76" t="s">
        <v>365</v>
      </c>
      <c r="J1549" s="76" t="s">
        <v>366</v>
      </c>
      <c r="K1549" s="77">
        <v>42984</v>
      </c>
      <c r="L1549" s="76" t="s">
        <v>405</v>
      </c>
      <c r="M1549" s="76" t="s">
        <v>1350</v>
      </c>
      <c r="N1549" s="76">
        <v>800</v>
      </c>
      <c r="O1549" s="76">
        <v>576</v>
      </c>
      <c r="P1549" s="78">
        <v>0.28000000000000003</v>
      </c>
    </row>
    <row r="1550" spans="7:16" x14ac:dyDescent="0.3">
      <c r="G1550" t="s">
        <v>3106</v>
      </c>
      <c r="H1550" s="76" t="s">
        <v>891</v>
      </c>
      <c r="I1550" s="76" t="s">
        <v>892</v>
      </c>
      <c r="J1550" s="76" t="s">
        <v>372</v>
      </c>
      <c r="K1550" s="76" t="s">
        <v>3107</v>
      </c>
      <c r="L1550" s="76" t="s">
        <v>483</v>
      </c>
      <c r="M1550" s="76" t="s">
        <v>1421</v>
      </c>
      <c r="N1550" s="76">
        <v>50</v>
      </c>
      <c r="O1550" s="76">
        <v>47</v>
      </c>
      <c r="P1550" s="78">
        <v>0.06</v>
      </c>
    </row>
    <row r="1551" spans="7:16" x14ac:dyDescent="0.3">
      <c r="G1551" t="s">
        <v>3108</v>
      </c>
      <c r="H1551" s="76" t="s">
        <v>891</v>
      </c>
      <c r="I1551" s="76" t="s">
        <v>892</v>
      </c>
      <c r="J1551" s="76" t="s">
        <v>372</v>
      </c>
      <c r="K1551" s="76" t="s">
        <v>1391</v>
      </c>
      <c r="L1551" s="76" t="s">
        <v>461</v>
      </c>
      <c r="M1551" s="76" t="s">
        <v>1046</v>
      </c>
      <c r="N1551" s="76">
        <v>70</v>
      </c>
      <c r="O1551" s="76">
        <v>66</v>
      </c>
      <c r="P1551" s="78">
        <v>5.7099999999999998E-2</v>
      </c>
    </row>
    <row r="1552" spans="7:16" x14ac:dyDescent="0.3">
      <c r="G1552" t="s">
        <v>3109</v>
      </c>
      <c r="H1552" s="76" t="s">
        <v>403</v>
      </c>
      <c r="I1552" s="76" t="s">
        <v>404</v>
      </c>
      <c r="J1552" s="76" t="s">
        <v>360</v>
      </c>
      <c r="K1552" s="77">
        <v>42680</v>
      </c>
      <c r="L1552" s="76" t="s">
        <v>396</v>
      </c>
      <c r="M1552" s="76" t="s">
        <v>1414</v>
      </c>
      <c r="N1552" s="76">
        <v>500</v>
      </c>
      <c r="O1552" s="76">
        <v>485</v>
      </c>
      <c r="P1552" s="78">
        <v>0.03</v>
      </c>
    </row>
    <row r="1553" spans="7:16" x14ac:dyDescent="0.3">
      <c r="G1553" t="s">
        <v>3110</v>
      </c>
      <c r="H1553" s="76" t="s">
        <v>478</v>
      </c>
      <c r="I1553" s="76" t="s">
        <v>479</v>
      </c>
      <c r="J1553" s="76" t="s">
        <v>384</v>
      </c>
      <c r="K1553" s="77">
        <v>42800</v>
      </c>
      <c r="L1553" s="76" t="s">
        <v>396</v>
      </c>
      <c r="M1553" s="76" t="s">
        <v>1033</v>
      </c>
      <c r="N1553" s="76">
        <v>500</v>
      </c>
      <c r="O1553" s="76">
        <v>495</v>
      </c>
      <c r="P1553" s="78">
        <v>0.01</v>
      </c>
    </row>
    <row r="1554" spans="7:16" x14ac:dyDescent="0.3">
      <c r="G1554" t="s">
        <v>3111</v>
      </c>
      <c r="H1554" s="76" t="s">
        <v>845</v>
      </c>
      <c r="I1554" s="76" t="s">
        <v>846</v>
      </c>
      <c r="J1554" s="76" t="s">
        <v>360</v>
      </c>
      <c r="K1554" s="76" t="s">
        <v>1144</v>
      </c>
      <c r="L1554" s="76" t="s">
        <v>483</v>
      </c>
      <c r="M1554" s="76" t="s">
        <v>1139</v>
      </c>
      <c r="N1554" s="76">
        <v>50</v>
      </c>
      <c r="O1554" s="76">
        <v>49</v>
      </c>
      <c r="P1554" s="78">
        <v>0.02</v>
      </c>
    </row>
    <row r="1555" spans="7:16" x14ac:dyDescent="0.3">
      <c r="G1555" t="s">
        <v>3112</v>
      </c>
      <c r="H1555" s="76" t="s">
        <v>434</v>
      </c>
      <c r="I1555" s="76" t="s">
        <v>435</v>
      </c>
      <c r="J1555" s="76" t="s">
        <v>360</v>
      </c>
      <c r="K1555" s="76" t="s">
        <v>1959</v>
      </c>
      <c r="L1555" s="76" t="s">
        <v>475</v>
      </c>
      <c r="M1555" s="76" t="s">
        <v>577</v>
      </c>
      <c r="N1555" s="76">
        <v>250</v>
      </c>
      <c r="O1555" s="76">
        <v>223</v>
      </c>
      <c r="P1555" s="78">
        <v>0.108</v>
      </c>
    </row>
    <row r="1556" spans="7:16" x14ac:dyDescent="0.3">
      <c r="G1556" t="s">
        <v>3113</v>
      </c>
      <c r="H1556" s="76" t="s">
        <v>399</v>
      </c>
      <c r="I1556" s="76" t="s">
        <v>400</v>
      </c>
      <c r="J1556" s="76" t="s">
        <v>372</v>
      </c>
      <c r="K1556" s="77">
        <v>43111</v>
      </c>
      <c r="L1556" s="76" t="s">
        <v>385</v>
      </c>
      <c r="M1556" s="76" t="s">
        <v>401</v>
      </c>
      <c r="N1556" s="76">
        <v>50</v>
      </c>
      <c r="O1556" s="76">
        <v>43</v>
      </c>
      <c r="P1556" s="78">
        <v>0.14000000000000001</v>
      </c>
    </row>
    <row r="1557" spans="7:16" x14ac:dyDescent="0.3">
      <c r="G1557" t="s">
        <v>3114</v>
      </c>
      <c r="H1557" s="76" t="s">
        <v>591</v>
      </c>
      <c r="I1557" s="76" t="s">
        <v>592</v>
      </c>
      <c r="J1557" s="76" t="s">
        <v>372</v>
      </c>
      <c r="K1557" s="77">
        <v>42471</v>
      </c>
      <c r="L1557" s="76" t="s">
        <v>391</v>
      </c>
      <c r="M1557" s="76" t="s">
        <v>2791</v>
      </c>
      <c r="N1557" s="76">
        <v>30</v>
      </c>
      <c r="O1557" s="76">
        <v>30</v>
      </c>
      <c r="P1557" s="78">
        <v>0</v>
      </c>
    </row>
    <row r="1558" spans="7:16" x14ac:dyDescent="0.3">
      <c r="G1558" t="s">
        <v>3115</v>
      </c>
      <c r="H1558" s="76" t="s">
        <v>394</v>
      </c>
      <c r="I1558" s="76" t="s">
        <v>395</v>
      </c>
      <c r="J1558" s="76" t="s">
        <v>372</v>
      </c>
      <c r="K1558" s="77">
        <v>42856</v>
      </c>
      <c r="L1558" s="76" t="s">
        <v>373</v>
      </c>
      <c r="M1558" s="76" t="s">
        <v>1695</v>
      </c>
      <c r="N1558" s="76">
        <v>700</v>
      </c>
      <c r="O1558" s="76">
        <v>686</v>
      </c>
      <c r="P1558" s="78">
        <v>0.02</v>
      </c>
    </row>
    <row r="1559" spans="7:16" x14ac:dyDescent="0.3">
      <c r="G1559" t="s">
        <v>3116</v>
      </c>
      <c r="H1559" s="76" t="s">
        <v>656</v>
      </c>
      <c r="I1559" s="76" t="s">
        <v>657</v>
      </c>
      <c r="J1559" s="76" t="s">
        <v>360</v>
      </c>
      <c r="K1559" s="76" t="s">
        <v>602</v>
      </c>
      <c r="L1559" s="76" t="s">
        <v>391</v>
      </c>
      <c r="M1559" s="76" t="s">
        <v>1780</v>
      </c>
      <c r="N1559" s="76">
        <v>30</v>
      </c>
      <c r="O1559" s="76">
        <v>24</v>
      </c>
      <c r="P1559" s="78">
        <v>0.2</v>
      </c>
    </row>
    <row r="1560" spans="7:16" x14ac:dyDescent="0.3">
      <c r="G1560" t="s">
        <v>3117</v>
      </c>
      <c r="H1560" s="76" t="s">
        <v>364</v>
      </c>
      <c r="I1560" s="76" t="s">
        <v>365</v>
      </c>
      <c r="J1560" s="76" t="s">
        <v>366</v>
      </c>
      <c r="K1560" s="76" t="s">
        <v>2786</v>
      </c>
      <c r="L1560" s="76" t="s">
        <v>475</v>
      </c>
      <c r="M1560" s="76" t="s">
        <v>1037</v>
      </c>
      <c r="N1560" s="76">
        <v>250</v>
      </c>
      <c r="O1560" s="76">
        <v>243</v>
      </c>
      <c r="P1560" s="78">
        <v>2.8000000000000001E-2</v>
      </c>
    </row>
    <row r="1561" spans="7:16" x14ac:dyDescent="0.3">
      <c r="G1561" t="s">
        <v>3118</v>
      </c>
      <c r="H1561" s="76" t="s">
        <v>656</v>
      </c>
      <c r="I1561" s="76" t="s">
        <v>657</v>
      </c>
      <c r="J1561" s="76" t="s">
        <v>360</v>
      </c>
      <c r="K1561" s="76" t="s">
        <v>1728</v>
      </c>
      <c r="L1561" s="76" t="s">
        <v>379</v>
      </c>
      <c r="M1561" s="76" t="s">
        <v>1389</v>
      </c>
      <c r="N1561" s="76">
        <v>150</v>
      </c>
      <c r="O1561" s="76">
        <v>140</v>
      </c>
      <c r="P1561" s="78">
        <v>6.6699999999999995E-2</v>
      </c>
    </row>
    <row r="1562" spans="7:16" x14ac:dyDescent="0.3">
      <c r="G1562" t="s">
        <v>3119</v>
      </c>
      <c r="H1562" s="76" t="s">
        <v>619</v>
      </c>
      <c r="I1562" s="76" t="s">
        <v>620</v>
      </c>
      <c r="J1562" s="76" t="s">
        <v>372</v>
      </c>
      <c r="K1562" s="76" t="s">
        <v>1985</v>
      </c>
      <c r="L1562" s="76" t="s">
        <v>379</v>
      </c>
      <c r="M1562" s="76" t="s">
        <v>621</v>
      </c>
      <c r="N1562" s="76">
        <v>150</v>
      </c>
      <c r="O1562" s="76">
        <v>125</v>
      </c>
      <c r="P1562" s="78">
        <v>0.16669999999999999</v>
      </c>
    </row>
    <row r="1563" spans="7:16" x14ac:dyDescent="0.3">
      <c r="G1563" t="s">
        <v>3120</v>
      </c>
      <c r="H1563" s="76" t="s">
        <v>668</v>
      </c>
      <c r="I1563" s="76" t="s">
        <v>669</v>
      </c>
      <c r="J1563" s="76" t="s">
        <v>360</v>
      </c>
      <c r="K1563" s="76" t="s">
        <v>3121</v>
      </c>
      <c r="L1563" s="76" t="s">
        <v>411</v>
      </c>
      <c r="M1563" s="76" t="s">
        <v>671</v>
      </c>
      <c r="N1563" s="76">
        <v>1000</v>
      </c>
      <c r="O1563" s="76">
        <v>950</v>
      </c>
      <c r="P1563" s="78">
        <v>0.05</v>
      </c>
    </row>
    <row r="1564" spans="7:16" x14ac:dyDescent="0.3">
      <c r="G1564" t="s">
        <v>3122</v>
      </c>
      <c r="H1564" s="76" t="s">
        <v>524</v>
      </c>
      <c r="I1564" s="76" t="s">
        <v>465</v>
      </c>
      <c r="J1564" s="76" t="s">
        <v>366</v>
      </c>
      <c r="K1564" s="76" t="s">
        <v>3078</v>
      </c>
      <c r="L1564" s="76" t="s">
        <v>379</v>
      </c>
      <c r="M1564" s="76" t="s">
        <v>526</v>
      </c>
      <c r="N1564" s="76">
        <v>150</v>
      </c>
      <c r="O1564" s="76">
        <v>141</v>
      </c>
      <c r="P1564" s="78">
        <v>0.06</v>
      </c>
    </row>
    <row r="1565" spans="7:16" x14ac:dyDescent="0.3">
      <c r="G1565" t="s">
        <v>3123</v>
      </c>
      <c r="H1565" s="76" t="s">
        <v>449</v>
      </c>
      <c r="I1565" s="76" t="s">
        <v>450</v>
      </c>
      <c r="J1565" s="76" t="s">
        <v>360</v>
      </c>
      <c r="K1565" s="76" t="s">
        <v>835</v>
      </c>
      <c r="L1565" s="76" t="s">
        <v>379</v>
      </c>
      <c r="M1565" s="76" t="s">
        <v>3124</v>
      </c>
      <c r="N1565" s="76">
        <v>150</v>
      </c>
      <c r="O1565" s="76">
        <v>114</v>
      </c>
      <c r="P1565" s="78">
        <v>0.24</v>
      </c>
    </row>
    <row r="1566" spans="7:16" x14ac:dyDescent="0.3">
      <c r="G1566" t="s">
        <v>3125</v>
      </c>
      <c r="H1566" s="76" t="s">
        <v>444</v>
      </c>
      <c r="I1566" s="76" t="s">
        <v>445</v>
      </c>
      <c r="J1566" s="76" t="s">
        <v>384</v>
      </c>
      <c r="K1566" s="76" t="s">
        <v>3126</v>
      </c>
      <c r="L1566" s="76" t="s">
        <v>475</v>
      </c>
      <c r="M1566" s="76" t="s">
        <v>2329</v>
      </c>
      <c r="N1566" s="76">
        <v>250</v>
      </c>
      <c r="O1566" s="76">
        <v>230</v>
      </c>
      <c r="P1566" s="78">
        <v>0.08</v>
      </c>
    </row>
    <row r="1567" spans="7:16" x14ac:dyDescent="0.3">
      <c r="G1567" t="s">
        <v>3127</v>
      </c>
      <c r="H1567" s="76" t="s">
        <v>464</v>
      </c>
      <c r="I1567" s="76" t="s">
        <v>465</v>
      </c>
      <c r="J1567" s="76" t="s">
        <v>366</v>
      </c>
      <c r="K1567" s="77">
        <v>41766</v>
      </c>
      <c r="L1567" s="76" t="s">
        <v>483</v>
      </c>
      <c r="M1567" s="76" t="s">
        <v>1407</v>
      </c>
      <c r="N1567" s="76">
        <v>50</v>
      </c>
      <c r="O1567" s="76">
        <v>41</v>
      </c>
      <c r="P1567" s="78">
        <v>0.18</v>
      </c>
    </row>
    <row r="1568" spans="7:16" x14ac:dyDescent="0.3">
      <c r="G1568" t="s">
        <v>3128</v>
      </c>
      <c r="H1568" s="76" t="s">
        <v>524</v>
      </c>
      <c r="I1568" s="76" t="s">
        <v>465</v>
      </c>
      <c r="J1568" s="76" t="s">
        <v>366</v>
      </c>
      <c r="K1568" s="76" t="s">
        <v>3129</v>
      </c>
      <c r="L1568" s="76" t="s">
        <v>405</v>
      </c>
      <c r="M1568" s="76" t="s">
        <v>784</v>
      </c>
      <c r="N1568" s="76">
        <v>800</v>
      </c>
      <c r="O1568" s="76">
        <v>792</v>
      </c>
      <c r="P1568" s="78">
        <v>0.01</v>
      </c>
    </row>
    <row r="1569" spans="7:16" x14ac:dyDescent="0.3">
      <c r="G1569" t="s">
        <v>3130</v>
      </c>
      <c r="H1569" s="76" t="s">
        <v>619</v>
      </c>
      <c r="I1569" s="76" t="s">
        <v>620</v>
      </c>
      <c r="J1569" s="76" t="s">
        <v>372</v>
      </c>
      <c r="K1569" s="77">
        <v>41710</v>
      </c>
      <c r="L1569" s="76" t="s">
        <v>361</v>
      </c>
      <c r="M1569" s="76" t="s">
        <v>685</v>
      </c>
      <c r="N1569" s="76">
        <v>80</v>
      </c>
      <c r="O1569" s="76">
        <v>64</v>
      </c>
      <c r="P1569" s="78">
        <v>0.2</v>
      </c>
    </row>
    <row r="1570" spans="7:16" x14ac:dyDescent="0.3">
      <c r="G1570" t="s">
        <v>3131</v>
      </c>
      <c r="H1570" s="76" t="s">
        <v>560</v>
      </c>
      <c r="I1570" s="76" t="s">
        <v>465</v>
      </c>
      <c r="J1570" s="76" t="s">
        <v>366</v>
      </c>
      <c r="K1570" s="76" t="s">
        <v>1566</v>
      </c>
      <c r="L1570" s="76" t="s">
        <v>361</v>
      </c>
      <c r="M1570" s="76" t="s">
        <v>2223</v>
      </c>
      <c r="N1570" s="76">
        <v>80</v>
      </c>
      <c r="O1570" s="76">
        <v>62</v>
      </c>
      <c r="P1570" s="78">
        <v>0.22500000000000001</v>
      </c>
    </row>
    <row r="1571" spans="7:16" x14ac:dyDescent="0.3">
      <c r="G1571" t="s">
        <v>3132</v>
      </c>
      <c r="H1571" s="76" t="s">
        <v>370</v>
      </c>
      <c r="I1571" s="76" t="s">
        <v>371</v>
      </c>
      <c r="J1571" s="76" t="s">
        <v>372</v>
      </c>
      <c r="K1571" s="77">
        <v>42126</v>
      </c>
      <c r="L1571" s="76" t="s">
        <v>424</v>
      </c>
      <c r="M1571" s="76" t="s">
        <v>1146</v>
      </c>
      <c r="N1571" s="76">
        <v>500</v>
      </c>
      <c r="O1571" s="76">
        <v>495</v>
      </c>
      <c r="P1571" s="78">
        <v>0.01</v>
      </c>
    </row>
    <row r="1572" spans="7:16" x14ac:dyDescent="0.3">
      <c r="G1572" t="s">
        <v>3133</v>
      </c>
      <c r="H1572" s="76" t="s">
        <v>376</v>
      </c>
      <c r="I1572" s="76" t="s">
        <v>377</v>
      </c>
      <c r="J1572" s="76" t="s">
        <v>360</v>
      </c>
      <c r="K1572" s="76" t="s">
        <v>3134</v>
      </c>
      <c r="L1572" s="76" t="s">
        <v>424</v>
      </c>
      <c r="M1572" s="76" t="s">
        <v>941</v>
      </c>
      <c r="N1572" s="76">
        <v>500</v>
      </c>
      <c r="O1572" s="76">
        <v>500</v>
      </c>
      <c r="P1572" s="78">
        <v>0</v>
      </c>
    </row>
    <row r="1573" spans="7:16" x14ac:dyDescent="0.3">
      <c r="G1573" t="s">
        <v>3135</v>
      </c>
      <c r="H1573" s="76" t="s">
        <v>478</v>
      </c>
      <c r="I1573" s="76" t="s">
        <v>479</v>
      </c>
      <c r="J1573" s="76" t="s">
        <v>384</v>
      </c>
      <c r="K1573" s="77">
        <v>41737</v>
      </c>
      <c r="L1573" s="76" t="s">
        <v>396</v>
      </c>
      <c r="M1573" s="76" t="s">
        <v>1033</v>
      </c>
      <c r="N1573" s="76">
        <v>500</v>
      </c>
      <c r="O1573" s="76">
        <v>495</v>
      </c>
      <c r="P1573" s="78">
        <v>0.01</v>
      </c>
    </row>
    <row r="1574" spans="7:16" x14ac:dyDescent="0.3">
      <c r="G1574" t="s">
        <v>3136</v>
      </c>
      <c r="H1574" s="76" t="s">
        <v>547</v>
      </c>
      <c r="I1574" s="76" t="s">
        <v>548</v>
      </c>
      <c r="J1574" s="76" t="s">
        <v>360</v>
      </c>
      <c r="K1574" s="77">
        <v>41955</v>
      </c>
      <c r="L1574" s="76" t="s">
        <v>475</v>
      </c>
      <c r="M1574" s="76" t="s">
        <v>1005</v>
      </c>
      <c r="N1574" s="76">
        <v>250</v>
      </c>
      <c r="O1574" s="76">
        <v>248</v>
      </c>
      <c r="P1574" s="78">
        <v>8.0000000000000002E-3</v>
      </c>
    </row>
    <row r="1575" spans="7:16" x14ac:dyDescent="0.3">
      <c r="G1575" t="s">
        <v>3137</v>
      </c>
      <c r="H1575" s="76" t="s">
        <v>459</v>
      </c>
      <c r="I1575" s="76" t="s">
        <v>422</v>
      </c>
      <c r="J1575" s="76" t="s">
        <v>384</v>
      </c>
      <c r="K1575" s="77">
        <v>43230</v>
      </c>
      <c r="L1575" s="76" t="s">
        <v>405</v>
      </c>
      <c r="M1575" s="76" t="s">
        <v>2355</v>
      </c>
      <c r="N1575" s="76">
        <v>800</v>
      </c>
      <c r="O1575" s="76">
        <v>712</v>
      </c>
      <c r="P1575" s="78">
        <v>0.11</v>
      </c>
    </row>
    <row r="1576" spans="7:16" x14ac:dyDescent="0.3">
      <c r="G1576" t="s">
        <v>3138</v>
      </c>
      <c r="H1576" s="76" t="s">
        <v>414</v>
      </c>
      <c r="I1576" s="76" t="s">
        <v>415</v>
      </c>
      <c r="J1576" s="76" t="s">
        <v>384</v>
      </c>
      <c r="K1576" s="76" t="s">
        <v>3139</v>
      </c>
      <c r="L1576" s="76" t="s">
        <v>385</v>
      </c>
      <c r="M1576" s="76" t="s">
        <v>1726</v>
      </c>
      <c r="N1576" s="76">
        <v>50</v>
      </c>
      <c r="O1576" s="76">
        <v>50</v>
      </c>
      <c r="P1576" s="78">
        <v>0</v>
      </c>
    </row>
    <row r="1577" spans="7:16" x14ac:dyDescent="0.3">
      <c r="G1577" t="s">
        <v>3140</v>
      </c>
      <c r="H1577" s="76" t="s">
        <v>489</v>
      </c>
      <c r="I1577" s="76" t="s">
        <v>490</v>
      </c>
      <c r="J1577" s="76" t="s">
        <v>360</v>
      </c>
      <c r="K1577" s="76" t="s">
        <v>1295</v>
      </c>
      <c r="L1577" s="76" t="s">
        <v>396</v>
      </c>
      <c r="M1577" s="76" t="s">
        <v>1015</v>
      </c>
      <c r="N1577" s="76">
        <v>500</v>
      </c>
      <c r="O1577" s="76">
        <v>485</v>
      </c>
      <c r="P1577" s="78">
        <v>0.03</v>
      </c>
    </row>
    <row r="1578" spans="7:16" x14ac:dyDescent="0.3">
      <c r="G1578" t="s">
        <v>3141</v>
      </c>
      <c r="H1578" s="76" t="s">
        <v>519</v>
      </c>
      <c r="I1578" s="76" t="s">
        <v>520</v>
      </c>
      <c r="J1578" s="76" t="s">
        <v>360</v>
      </c>
      <c r="K1578" s="77">
        <v>42470</v>
      </c>
      <c r="L1578" s="76" t="s">
        <v>424</v>
      </c>
      <c r="M1578" s="76" t="s">
        <v>3092</v>
      </c>
      <c r="N1578" s="76">
        <v>500</v>
      </c>
      <c r="O1578" s="76">
        <v>500</v>
      </c>
      <c r="P1578" s="78">
        <v>0</v>
      </c>
    </row>
    <row r="1579" spans="7:16" x14ac:dyDescent="0.3">
      <c r="G1579" t="s">
        <v>3142</v>
      </c>
      <c r="H1579" s="76" t="s">
        <v>675</v>
      </c>
      <c r="I1579" s="76" t="s">
        <v>676</v>
      </c>
      <c r="J1579" s="76" t="s">
        <v>384</v>
      </c>
      <c r="K1579" s="77">
        <v>43193</v>
      </c>
      <c r="L1579" s="76" t="s">
        <v>461</v>
      </c>
      <c r="M1579" s="76" t="s">
        <v>1395</v>
      </c>
      <c r="N1579" s="76">
        <v>70</v>
      </c>
      <c r="O1579" s="76">
        <v>69</v>
      </c>
      <c r="P1579" s="78">
        <v>1.43E-2</v>
      </c>
    </row>
    <row r="1580" spans="7:16" x14ac:dyDescent="0.3">
      <c r="G1580" t="s">
        <v>3143</v>
      </c>
      <c r="H1580" s="76" t="s">
        <v>358</v>
      </c>
      <c r="I1580" s="76" t="s">
        <v>359</v>
      </c>
      <c r="J1580" s="76" t="s">
        <v>360</v>
      </c>
      <c r="K1580" s="77">
        <v>42646</v>
      </c>
      <c r="L1580" s="76" t="s">
        <v>361</v>
      </c>
      <c r="M1580" s="76" t="s">
        <v>780</v>
      </c>
      <c r="N1580" s="76">
        <v>80</v>
      </c>
      <c r="O1580" s="76">
        <v>77</v>
      </c>
      <c r="P1580" s="78">
        <v>3.7499999999999999E-2</v>
      </c>
    </row>
    <row r="1581" spans="7:16" x14ac:dyDescent="0.3">
      <c r="G1581" t="s">
        <v>3144</v>
      </c>
      <c r="H1581" s="76" t="s">
        <v>891</v>
      </c>
      <c r="I1581" s="76" t="s">
        <v>892</v>
      </c>
      <c r="J1581" s="76" t="s">
        <v>372</v>
      </c>
      <c r="K1581" s="77">
        <v>42434</v>
      </c>
      <c r="L1581" s="76" t="s">
        <v>361</v>
      </c>
      <c r="M1581" s="76" t="s">
        <v>1333</v>
      </c>
      <c r="N1581" s="76">
        <v>80</v>
      </c>
      <c r="O1581" s="76">
        <v>76</v>
      </c>
      <c r="P1581" s="78">
        <v>0.05</v>
      </c>
    </row>
    <row r="1582" spans="7:16" x14ac:dyDescent="0.3">
      <c r="G1582" t="s">
        <v>3145</v>
      </c>
      <c r="H1582" s="76" t="s">
        <v>566</v>
      </c>
      <c r="I1582" s="76" t="s">
        <v>567</v>
      </c>
      <c r="J1582" s="76" t="s">
        <v>360</v>
      </c>
      <c r="K1582" s="76" t="s">
        <v>3107</v>
      </c>
      <c r="L1582" s="76" t="s">
        <v>461</v>
      </c>
      <c r="M1582" s="76" t="s">
        <v>1302</v>
      </c>
      <c r="N1582" s="76">
        <v>70</v>
      </c>
      <c r="O1582" s="76">
        <v>65</v>
      </c>
      <c r="P1582" s="78">
        <v>7.1400000000000005E-2</v>
      </c>
    </row>
    <row r="1583" spans="7:16" x14ac:dyDescent="0.3">
      <c r="G1583" t="s">
        <v>3146</v>
      </c>
      <c r="H1583" s="76" t="s">
        <v>394</v>
      </c>
      <c r="I1583" s="76" t="s">
        <v>395</v>
      </c>
      <c r="J1583" s="76" t="s">
        <v>372</v>
      </c>
      <c r="K1583" s="76" t="s">
        <v>2381</v>
      </c>
      <c r="L1583" s="76" t="s">
        <v>385</v>
      </c>
      <c r="M1583" s="76" t="s">
        <v>1787</v>
      </c>
      <c r="N1583" s="76">
        <v>50</v>
      </c>
      <c r="O1583" s="76">
        <v>37</v>
      </c>
      <c r="P1583" s="78">
        <v>0.26</v>
      </c>
    </row>
    <row r="1584" spans="7:16" x14ac:dyDescent="0.3">
      <c r="G1584" t="s">
        <v>3147</v>
      </c>
      <c r="H1584" s="76" t="s">
        <v>615</v>
      </c>
      <c r="I1584" s="76" t="s">
        <v>400</v>
      </c>
      <c r="J1584" s="76" t="s">
        <v>372</v>
      </c>
      <c r="K1584" s="77">
        <v>43075</v>
      </c>
      <c r="L1584" s="76" t="s">
        <v>424</v>
      </c>
      <c r="M1584" s="76" t="s">
        <v>864</v>
      </c>
      <c r="N1584" s="76">
        <v>500</v>
      </c>
      <c r="O1584" s="76">
        <v>500</v>
      </c>
      <c r="P1584" s="78">
        <v>0</v>
      </c>
    </row>
    <row r="1585" spans="7:16" x14ac:dyDescent="0.3">
      <c r="G1585" t="s">
        <v>3148</v>
      </c>
      <c r="H1585" s="76" t="s">
        <v>429</v>
      </c>
      <c r="I1585" s="76" t="s">
        <v>430</v>
      </c>
      <c r="J1585" s="76" t="s">
        <v>384</v>
      </c>
      <c r="K1585" s="77">
        <v>42856</v>
      </c>
      <c r="L1585" s="76" t="s">
        <v>385</v>
      </c>
      <c r="M1585" s="76" t="s">
        <v>1776</v>
      </c>
      <c r="N1585" s="76">
        <v>50</v>
      </c>
      <c r="O1585" s="76">
        <v>50</v>
      </c>
      <c r="P1585" s="78">
        <v>0</v>
      </c>
    </row>
    <row r="1586" spans="7:16" x14ac:dyDescent="0.3">
      <c r="G1586" t="s">
        <v>3149</v>
      </c>
      <c r="H1586" s="76" t="s">
        <v>524</v>
      </c>
      <c r="I1586" s="76" t="s">
        <v>465</v>
      </c>
      <c r="J1586" s="76" t="s">
        <v>366</v>
      </c>
      <c r="K1586" s="76" t="s">
        <v>2245</v>
      </c>
      <c r="L1586" s="76" t="s">
        <v>361</v>
      </c>
      <c r="M1586" s="76" t="s">
        <v>784</v>
      </c>
      <c r="N1586" s="76">
        <v>80</v>
      </c>
      <c r="O1586" s="76">
        <v>73</v>
      </c>
      <c r="P1586" s="78">
        <v>8.7499999999999994E-2</v>
      </c>
    </row>
    <row r="1587" spans="7:16" x14ac:dyDescent="0.3">
      <c r="G1587" t="s">
        <v>3150</v>
      </c>
      <c r="H1587" s="76" t="s">
        <v>891</v>
      </c>
      <c r="I1587" s="76" t="s">
        <v>892</v>
      </c>
      <c r="J1587" s="76" t="s">
        <v>372</v>
      </c>
      <c r="K1587" s="77">
        <v>42767</v>
      </c>
      <c r="L1587" s="76" t="s">
        <v>373</v>
      </c>
      <c r="M1587" s="76" t="s">
        <v>931</v>
      </c>
      <c r="N1587" s="76">
        <v>700</v>
      </c>
      <c r="O1587" s="76">
        <v>637</v>
      </c>
      <c r="P1587" s="78">
        <v>0.09</v>
      </c>
    </row>
    <row r="1588" spans="7:16" x14ac:dyDescent="0.3">
      <c r="G1588" t="s">
        <v>3151</v>
      </c>
      <c r="H1588" s="76" t="s">
        <v>700</v>
      </c>
      <c r="I1588" s="76" t="s">
        <v>465</v>
      </c>
      <c r="J1588" s="76" t="s">
        <v>366</v>
      </c>
      <c r="K1588" s="77">
        <v>43352</v>
      </c>
      <c r="L1588" s="76" t="s">
        <v>475</v>
      </c>
      <c r="M1588" s="76" t="s">
        <v>1821</v>
      </c>
      <c r="N1588" s="76">
        <v>250</v>
      </c>
      <c r="O1588" s="76">
        <v>248</v>
      </c>
      <c r="P1588" s="78">
        <v>8.0000000000000002E-3</v>
      </c>
    </row>
    <row r="1589" spans="7:16" x14ac:dyDescent="0.3">
      <c r="G1589" t="s">
        <v>3152</v>
      </c>
      <c r="H1589" s="76" t="s">
        <v>399</v>
      </c>
      <c r="I1589" s="76" t="s">
        <v>400</v>
      </c>
      <c r="J1589" s="76" t="s">
        <v>372</v>
      </c>
      <c r="K1589" s="76" t="s">
        <v>3153</v>
      </c>
      <c r="L1589" s="76" t="s">
        <v>396</v>
      </c>
      <c r="M1589" s="76" t="s">
        <v>401</v>
      </c>
      <c r="N1589" s="76">
        <v>500</v>
      </c>
      <c r="O1589" s="76">
        <v>475</v>
      </c>
      <c r="P1589" s="78">
        <v>0.05</v>
      </c>
    </row>
    <row r="1590" spans="7:16" x14ac:dyDescent="0.3">
      <c r="G1590" t="s">
        <v>3154</v>
      </c>
      <c r="H1590" s="76" t="s">
        <v>399</v>
      </c>
      <c r="I1590" s="76" t="s">
        <v>400</v>
      </c>
      <c r="J1590" s="76" t="s">
        <v>372</v>
      </c>
      <c r="K1590" s="76" t="s">
        <v>3155</v>
      </c>
      <c r="L1590" s="76" t="s">
        <v>483</v>
      </c>
      <c r="M1590" s="76" t="s">
        <v>815</v>
      </c>
      <c r="N1590" s="76">
        <v>50</v>
      </c>
      <c r="O1590" s="76">
        <v>40</v>
      </c>
      <c r="P1590" s="78">
        <v>0.2</v>
      </c>
    </row>
    <row r="1591" spans="7:16" x14ac:dyDescent="0.3">
      <c r="G1591" t="s">
        <v>3156</v>
      </c>
      <c r="H1591" s="76" t="s">
        <v>388</v>
      </c>
      <c r="I1591" s="76" t="s">
        <v>389</v>
      </c>
      <c r="J1591" s="76" t="s">
        <v>384</v>
      </c>
      <c r="K1591" s="76" t="s">
        <v>3157</v>
      </c>
      <c r="L1591" s="76" t="s">
        <v>405</v>
      </c>
      <c r="M1591" s="76" t="s">
        <v>392</v>
      </c>
      <c r="N1591" s="76">
        <v>800</v>
      </c>
      <c r="O1591" s="76">
        <v>504</v>
      </c>
      <c r="P1591" s="78">
        <v>0.37</v>
      </c>
    </row>
    <row r="1592" spans="7:16" x14ac:dyDescent="0.3">
      <c r="G1592" t="s">
        <v>3158</v>
      </c>
      <c r="H1592" s="76" t="s">
        <v>547</v>
      </c>
      <c r="I1592" s="76" t="s">
        <v>548</v>
      </c>
      <c r="J1592" s="76" t="s">
        <v>360</v>
      </c>
      <c r="K1592" s="76" t="s">
        <v>3159</v>
      </c>
      <c r="L1592" s="76" t="s">
        <v>405</v>
      </c>
      <c r="M1592" s="76" t="s">
        <v>1005</v>
      </c>
      <c r="N1592" s="76">
        <v>800</v>
      </c>
      <c r="O1592" s="76">
        <v>664</v>
      </c>
      <c r="P1592" s="78">
        <v>0.17</v>
      </c>
    </row>
    <row r="1593" spans="7:16" x14ac:dyDescent="0.3">
      <c r="G1593" t="s">
        <v>3160</v>
      </c>
      <c r="H1593" s="76" t="s">
        <v>747</v>
      </c>
      <c r="I1593" s="76" t="s">
        <v>748</v>
      </c>
      <c r="J1593" s="76" t="s">
        <v>360</v>
      </c>
      <c r="K1593" s="76" t="s">
        <v>605</v>
      </c>
      <c r="L1593" s="76" t="s">
        <v>396</v>
      </c>
      <c r="M1593" s="76" t="s">
        <v>1977</v>
      </c>
      <c r="N1593" s="76">
        <v>500</v>
      </c>
      <c r="O1593" s="76">
        <v>500</v>
      </c>
      <c r="P1593" s="78">
        <v>0</v>
      </c>
    </row>
    <row r="1594" spans="7:16" x14ac:dyDescent="0.3">
      <c r="G1594" t="s">
        <v>3161</v>
      </c>
      <c r="H1594" s="76" t="s">
        <v>444</v>
      </c>
      <c r="I1594" s="76" t="s">
        <v>445</v>
      </c>
      <c r="J1594" s="76" t="s">
        <v>384</v>
      </c>
      <c r="K1594" s="76" t="s">
        <v>3162</v>
      </c>
      <c r="L1594" s="76" t="s">
        <v>475</v>
      </c>
      <c r="M1594" s="76" t="s">
        <v>775</v>
      </c>
      <c r="N1594" s="76">
        <v>250</v>
      </c>
      <c r="O1594" s="76">
        <v>250</v>
      </c>
      <c r="P1594" s="78">
        <v>0</v>
      </c>
    </row>
    <row r="1595" spans="7:16" x14ac:dyDescent="0.3">
      <c r="G1595" t="s">
        <v>3163</v>
      </c>
      <c r="H1595" s="76" t="s">
        <v>478</v>
      </c>
      <c r="I1595" s="76" t="s">
        <v>479</v>
      </c>
      <c r="J1595" s="76" t="s">
        <v>384</v>
      </c>
      <c r="K1595" s="77">
        <v>42651</v>
      </c>
      <c r="L1595" s="76" t="s">
        <v>391</v>
      </c>
      <c r="M1595" s="76" t="s">
        <v>2546</v>
      </c>
      <c r="N1595" s="76">
        <v>30</v>
      </c>
      <c r="O1595" s="76">
        <v>30</v>
      </c>
      <c r="P1595" s="78">
        <v>0</v>
      </c>
    </row>
    <row r="1596" spans="7:16" x14ac:dyDescent="0.3">
      <c r="G1596" t="s">
        <v>3164</v>
      </c>
      <c r="H1596" s="76" t="s">
        <v>3165</v>
      </c>
      <c r="I1596" s="76" t="s">
        <v>365</v>
      </c>
      <c r="J1596" s="76" t="s">
        <v>366</v>
      </c>
      <c r="K1596" s="76" t="s">
        <v>3166</v>
      </c>
      <c r="L1596" s="76" t="s">
        <v>405</v>
      </c>
      <c r="M1596" s="76" t="s">
        <v>3167</v>
      </c>
      <c r="N1596" s="76">
        <v>800</v>
      </c>
      <c r="O1596" s="76">
        <v>632</v>
      </c>
      <c r="P1596" s="78">
        <v>0.21</v>
      </c>
    </row>
    <row r="1597" spans="7:16" x14ac:dyDescent="0.3">
      <c r="G1597" t="s">
        <v>3168</v>
      </c>
      <c r="H1597" s="76" t="s">
        <v>388</v>
      </c>
      <c r="I1597" s="76" t="s">
        <v>389</v>
      </c>
      <c r="J1597" s="76" t="s">
        <v>384</v>
      </c>
      <c r="K1597" s="77">
        <v>43410</v>
      </c>
      <c r="L1597" s="76" t="s">
        <v>483</v>
      </c>
      <c r="M1597" s="76" t="s">
        <v>539</v>
      </c>
      <c r="N1597" s="76">
        <v>50</v>
      </c>
      <c r="O1597" s="76">
        <v>50</v>
      </c>
      <c r="P1597" s="78">
        <v>0</v>
      </c>
    </row>
    <row r="1598" spans="7:16" x14ac:dyDescent="0.3">
      <c r="G1598" t="s">
        <v>3169</v>
      </c>
      <c r="H1598" s="76" t="s">
        <v>524</v>
      </c>
      <c r="I1598" s="76" t="s">
        <v>465</v>
      </c>
      <c r="J1598" s="76" t="s">
        <v>366</v>
      </c>
      <c r="K1598" s="77">
        <v>43252</v>
      </c>
      <c r="L1598" s="76" t="s">
        <v>424</v>
      </c>
      <c r="M1598" s="76" t="s">
        <v>526</v>
      </c>
      <c r="N1598" s="76">
        <v>500</v>
      </c>
      <c r="O1598" s="76">
        <v>500</v>
      </c>
      <c r="P1598" s="78">
        <v>0</v>
      </c>
    </row>
    <row r="1599" spans="7:16" x14ac:dyDescent="0.3">
      <c r="G1599" t="s">
        <v>3170</v>
      </c>
      <c r="H1599" s="76" t="s">
        <v>700</v>
      </c>
      <c r="I1599" s="76" t="s">
        <v>465</v>
      </c>
      <c r="J1599" s="76" t="s">
        <v>366</v>
      </c>
      <c r="K1599" s="76" t="s">
        <v>2813</v>
      </c>
      <c r="L1599" s="76" t="s">
        <v>424</v>
      </c>
      <c r="M1599" s="76" t="s">
        <v>778</v>
      </c>
      <c r="N1599" s="76">
        <v>500</v>
      </c>
      <c r="O1599" s="76">
        <v>495</v>
      </c>
      <c r="P1599" s="78">
        <v>0.01</v>
      </c>
    </row>
    <row r="1600" spans="7:16" x14ac:dyDescent="0.3">
      <c r="G1600" t="s">
        <v>3171</v>
      </c>
      <c r="H1600" s="76" t="s">
        <v>370</v>
      </c>
      <c r="I1600" s="76" t="s">
        <v>371</v>
      </c>
      <c r="J1600" s="76" t="s">
        <v>372</v>
      </c>
      <c r="K1600" s="76" t="s">
        <v>3172</v>
      </c>
      <c r="L1600" s="76" t="s">
        <v>396</v>
      </c>
      <c r="M1600" s="76" t="s">
        <v>731</v>
      </c>
      <c r="N1600" s="76">
        <v>500</v>
      </c>
      <c r="O1600" s="76">
        <v>485</v>
      </c>
      <c r="P1600" s="78">
        <v>0.03</v>
      </c>
    </row>
    <row r="1601" spans="7:16" x14ac:dyDescent="0.3">
      <c r="G1601" t="s">
        <v>3173</v>
      </c>
      <c r="H1601" s="76" t="s">
        <v>656</v>
      </c>
      <c r="I1601" s="76" t="s">
        <v>657</v>
      </c>
      <c r="J1601" s="76" t="s">
        <v>360</v>
      </c>
      <c r="K1601" s="76" t="s">
        <v>3174</v>
      </c>
      <c r="L1601" s="76" t="s">
        <v>391</v>
      </c>
      <c r="M1601" s="76" t="s">
        <v>1010</v>
      </c>
      <c r="N1601" s="76">
        <v>30</v>
      </c>
      <c r="O1601" s="76">
        <v>23</v>
      </c>
      <c r="P1601" s="78">
        <v>0.23330000000000001</v>
      </c>
    </row>
    <row r="1602" spans="7:16" x14ac:dyDescent="0.3">
      <c r="G1602" t="s">
        <v>3175</v>
      </c>
      <c r="H1602" s="76" t="s">
        <v>891</v>
      </c>
      <c r="I1602" s="76" t="s">
        <v>892</v>
      </c>
      <c r="J1602" s="76" t="s">
        <v>372</v>
      </c>
      <c r="K1602" s="76" t="s">
        <v>2467</v>
      </c>
      <c r="L1602" s="76" t="s">
        <v>483</v>
      </c>
      <c r="M1602" s="76" t="s">
        <v>1046</v>
      </c>
      <c r="N1602" s="76">
        <v>50</v>
      </c>
      <c r="O1602" s="76">
        <v>50</v>
      </c>
      <c r="P1602" s="78">
        <v>0</v>
      </c>
    </row>
    <row r="1603" spans="7:16" x14ac:dyDescent="0.3">
      <c r="G1603" t="s">
        <v>3176</v>
      </c>
      <c r="H1603" s="76" t="s">
        <v>403</v>
      </c>
      <c r="I1603" s="76" t="s">
        <v>404</v>
      </c>
      <c r="J1603" s="76" t="s">
        <v>360</v>
      </c>
      <c r="K1603" s="77">
        <v>42557</v>
      </c>
      <c r="L1603" s="76" t="s">
        <v>483</v>
      </c>
      <c r="M1603" s="76" t="s">
        <v>406</v>
      </c>
      <c r="N1603" s="76">
        <v>50</v>
      </c>
      <c r="O1603" s="76">
        <v>48</v>
      </c>
      <c r="P1603" s="78">
        <v>0.04</v>
      </c>
    </row>
    <row r="1604" spans="7:16" x14ac:dyDescent="0.3">
      <c r="G1604" t="s">
        <v>3177</v>
      </c>
      <c r="H1604" s="76" t="s">
        <v>547</v>
      </c>
      <c r="I1604" s="76" t="s">
        <v>548</v>
      </c>
      <c r="J1604" s="76" t="s">
        <v>360</v>
      </c>
      <c r="K1604" s="76" t="s">
        <v>1885</v>
      </c>
      <c r="L1604" s="76" t="s">
        <v>475</v>
      </c>
      <c r="M1604" s="76" t="s">
        <v>549</v>
      </c>
      <c r="N1604" s="76">
        <v>250</v>
      </c>
      <c r="O1604" s="76">
        <v>160</v>
      </c>
      <c r="P1604" s="78">
        <v>0.36</v>
      </c>
    </row>
    <row r="1605" spans="7:16" x14ac:dyDescent="0.3">
      <c r="G1605" t="s">
        <v>3178</v>
      </c>
      <c r="H1605" s="76" t="s">
        <v>519</v>
      </c>
      <c r="I1605" s="76" t="s">
        <v>520</v>
      </c>
      <c r="J1605" s="76" t="s">
        <v>360</v>
      </c>
      <c r="K1605" s="76" t="s">
        <v>3179</v>
      </c>
      <c r="L1605" s="76" t="s">
        <v>379</v>
      </c>
      <c r="M1605" s="76" t="s">
        <v>1343</v>
      </c>
      <c r="N1605" s="76">
        <v>150</v>
      </c>
      <c r="O1605" s="76">
        <v>140</v>
      </c>
      <c r="P1605" s="78">
        <v>6.6699999999999995E-2</v>
      </c>
    </row>
    <row r="1606" spans="7:16" x14ac:dyDescent="0.3">
      <c r="G1606" t="s">
        <v>3180</v>
      </c>
      <c r="H1606" s="76" t="s">
        <v>469</v>
      </c>
      <c r="I1606" s="76" t="s">
        <v>435</v>
      </c>
      <c r="J1606" s="76" t="s">
        <v>360</v>
      </c>
      <c r="K1606" s="77">
        <v>42134</v>
      </c>
      <c r="L1606" s="76" t="s">
        <v>483</v>
      </c>
      <c r="M1606" s="76" t="s">
        <v>1419</v>
      </c>
      <c r="N1606" s="76">
        <v>50</v>
      </c>
      <c r="O1606" s="76">
        <v>42</v>
      </c>
      <c r="P1606" s="78">
        <v>0.16</v>
      </c>
    </row>
    <row r="1607" spans="7:16" x14ac:dyDescent="0.3">
      <c r="G1607" t="s">
        <v>3181</v>
      </c>
      <c r="H1607" s="76" t="s">
        <v>3165</v>
      </c>
      <c r="I1607" s="76" t="s">
        <v>365</v>
      </c>
      <c r="J1607" s="76" t="s">
        <v>366</v>
      </c>
      <c r="K1607" s="77">
        <v>42708</v>
      </c>
      <c r="L1607" s="76" t="s">
        <v>391</v>
      </c>
      <c r="M1607" s="76" t="s">
        <v>3182</v>
      </c>
      <c r="N1607" s="76">
        <v>30</v>
      </c>
      <c r="O1607" s="76">
        <v>29</v>
      </c>
      <c r="P1607" s="78">
        <v>3.3300000000000003E-2</v>
      </c>
    </row>
    <row r="1608" spans="7:16" x14ac:dyDescent="0.3">
      <c r="G1608" t="s">
        <v>3183</v>
      </c>
      <c r="H1608" s="76" t="s">
        <v>478</v>
      </c>
      <c r="I1608" s="76" t="s">
        <v>479</v>
      </c>
      <c r="J1608" s="76" t="s">
        <v>384</v>
      </c>
      <c r="K1608" s="76" t="s">
        <v>3184</v>
      </c>
      <c r="L1608" s="76" t="s">
        <v>411</v>
      </c>
      <c r="M1608" s="76" t="s">
        <v>1093</v>
      </c>
      <c r="N1608" s="76">
        <v>1000</v>
      </c>
      <c r="O1608" s="76">
        <v>580</v>
      </c>
      <c r="P1608" s="78">
        <v>0.42</v>
      </c>
    </row>
    <row r="1609" spans="7:16" x14ac:dyDescent="0.3">
      <c r="G1609" t="s">
        <v>3185</v>
      </c>
      <c r="H1609" s="76" t="s">
        <v>497</v>
      </c>
      <c r="I1609" s="76" t="s">
        <v>445</v>
      </c>
      <c r="J1609" s="76" t="s">
        <v>384</v>
      </c>
      <c r="K1609" s="76" t="s">
        <v>682</v>
      </c>
      <c r="L1609" s="76" t="s">
        <v>411</v>
      </c>
      <c r="M1609" s="76" t="s">
        <v>499</v>
      </c>
      <c r="N1609" s="76">
        <v>1000</v>
      </c>
      <c r="O1609" s="76">
        <v>880</v>
      </c>
      <c r="P1609" s="78">
        <v>0.12</v>
      </c>
    </row>
    <row r="1610" spans="7:16" x14ac:dyDescent="0.3">
      <c r="G1610" t="s">
        <v>3186</v>
      </c>
      <c r="H1610" s="76" t="s">
        <v>566</v>
      </c>
      <c r="I1610" s="76" t="s">
        <v>567</v>
      </c>
      <c r="J1610" s="76" t="s">
        <v>360</v>
      </c>
      <c r="K1610" s="77">
        <v>41798</v>
      </c>
      <c r="L1610" s="76" t="s">
        <v>461</v>
      </c>
      <c r="M1610" s="76" t="s">
        <v>1227</v>
      </c>
      <c r="N1610" s="76">
        <v>70</v>
      </c>
      <c r="O1610" s="76">
        <v>52</v>
      </c>
      <c r="P1610" s="78">
        <v>0.2571</v>
      </c>
    </row>
    <row r="1611" spans="7:16" x14ac:dyDescent="0.3">
      <c r="G1611" t="s">
        <v>3187</v>
      </c>
      <c r="H1611" s="76" t="s">
        <v>845</v>
      </c>
      <c r="I1611" s="76" t="s">
        <v>846</v>
      </c>
      <c r="J1611" s="76" t="s">
        <v>360</v>
      </c>
      <c r="K1611" s="76" t="s">
        <v>1791</v>
      </c>
      <c r="L1611" s="76" t="s">
        <v>483</v>
      </c>
      <c r="M1611" s="76" t="s">
        <v>3188</v>
      </c>
      <c r="N1611" s="76">
        <v>50</v>
      </c>
      <c r="O1611" s="76">
        <v>37</v>
      </c>
      <c r="P1611" s="78">
        <v>0.26</v>
      </c>
    </row>
    <row r="1612" spans="7:16" x14ac:dyDescent="0.3">
      <c r="G1612" t="s">
        <v>3189</v>
      </c>
      <c r="H1612" s="76" t="s">
        <v>615</v>
      </c>
      <c r="I1612" s="76" t="s">
        <v>400</v>
      </c>
      <c r="J1612" s="76" t="s">
        <v>372</v>
      </c>
      <c r="K1612" s="77">
        <v>41859</v>
      </c>
      <c r="L1612" s="76" t="s">
        <v>385</v>
      </c>
      <c r="M1612" s="76" t="s">
        <v>1965</v>
      </c>
      <c r="N1612" s="76">
        <v>50</v>
      </c>
      <c r="O1612" s="76">
        <v>50</v>
      </c>
      <c r="P1612" s="78">
        <v>0</v>
      </c>
    </row>
    <row r="1613" spans="7:16" x14ac:dyDescent="0.3">
      <c r="G1613" t="s">
        <v>3190</v>
      </c>
      <c r="H1613" s="76" t="s">
        <v>3191</v>
      </c>
      <c r="I1613" s="76" t="s">
        <v>465</v>
      </c>
      <c r="J1613" s="76" t="s">
        <v>366</v>
      </c>
      <c r="K1613" s="77">
        <v>42989</v>
      </c>
      <c r="L1613" s="76" t="s">
        <v>461</v>
      </c>
      <c r="M1613" s="76" t="s">
        <v>3192</v>
      </c>
      <c r="N1613" s="76">
        <v>70</v>
      </c>
      <c r="O1613" s="76">
        <v>67</v>
      </c>
      <c r="P1613" s="78">
        <v>4.2900000000000001E-2</v>
      </c>
    </row>
    <row r="1614" spans="7:16" x14ac:dyDescent="0.3">
      <c r="G1614" t="s">
        <v>3193</v>
      </c>
      <c r="H1614" s="76" t="s">
        <v>700</v>
      </c>
      <c r="I1614" s="76" t="s">
        <v>465</v>
      </c>
      <c r="J1614" s="76" t="s">
        <v>366</v>
      </c>
      <c r="K1614" s="76" t="s">
        <v>1768</v>
      </c>
      <c r="L1614" s="76" t="s">
        <v>385</v>
      </c>
      <c r="M1614" s="76" t="s">
        <v>1821</v>
      </c>
      <c r="N1614" s="76">
        <v>50</v>
      </c>
      <c r="O1614" s="76">
        <v>50</v>
      </c>
      <c r="P1614" s="78">
        <v>0</v>
      </c>
    </row>
    <row r="1615" spans="7:16" x14ac:dyDescent="0.3">
      <c r="G1615" t="s">
        <v>3194</v>
      </c>
      <c r="H1615" s="76" t="s">
        <v>444</v>
      </c>
      <c r="I1615" s="76" t="s">
        <v>445</v>
      </c>
      <c r="J1615" s="76" t="s">
        <v>384</v>
      </c>
      <c r="K1615" s="76" t="s">
        <v>2828</v>
      </c>
      <c r="L1615" s="76" t="s">
        <v>461</v>
      </c>
      <c r="M1615" s="76" t="s">
        <v>2329</v>
      </c>
      <c r="N1615" s="76">
        <v>70</v>
      </c>
      <c r="O1615" s="76">
        <v>66</v>
      </c>
      <c r="P1615" s="78">
        <v>5.7099999999999998E-2</v>
      </c>
    </row>
    <row r="1616" spans="7:16" x14ac:dyDescent="0.3">
      <c r="G1616" t="s">
        <v>3195</v>
      </c>
      <c r="H1616" s="76" t="s">
        <v>845</v>
      </c>
      <c r="I1616" s="76" t="s">
        <v>846</v>
      </c>
      <c r="J1616" s="76" t="s">
        <v>360</v>
      </c>
      <c r="K1616" s="77">
        <v>42350</v>
      </c>
      <c r="L1616" s="76" t="s">
        <v>483</v>
      </c>
      <c r="M1616" s="76" t="s">
        <v>2025</v>
      </c>
      <c r="N1616" s="76">
        <v>50</v>
      </c>
      <c r="O1616" s="76">
        <v>42</v>
      </c>
      <c r="P1616" s="78">
        <v>0.16</v>
      </c>
    </row>
    <row r="1617" spans="7:16" x14ac:dyDescent="0.3">
      <c r="G1617" t="s">
        <v>3196</v>
      </c>
      <c r="H1617" s="76" t="s">
        <v>891</v>
      </c>
      <c r="I1617" s="76" t="s">
        <v>892</v>
      </c>
      <c r="J1617" s="76" t="s">
        <v>372</v>
      </c>
      <c r="K1617" s="77">
        <v>43319</v>
      </c>
      <c r="L1617" s="76" t="s">
        <v>361</v>
      </c>
      <c r="M1617" s="76" t="s">
        <v>1333</v>
      </c>
      <c r="N1617" s="76">
        <v>80</v>
      </c>
      <c r="O1617" s="76">
        <v>78</v>
      </c>
      <c r="P1617" s="78">
        <v>2.5000000000000001E-2</v>
      </c>
    </row>
    <row r="1618" spans="7:16" x14ac:dyDescent="0.3">
      <c r="G1618" t="s">
        <v>3197</v>
      </c>
      <c r="H1618" s="76" t="s">
        <v>747</v>
      </c>
      <c r="I1618" s="76" t="s">
        <v>748</v>
      </c>
      <c r="J1618" s="76" t="s">
        <v>360</v>
      </c>
      <c r="K1618" s="77">
        <v>42736</v>
      </c>
      <c r="L1618" s="76" t="s">
        <v>411</v>
      </c>
      <c r="M1618" s="76" t="s">
        <v>1901</v>
      </c>
      <c r="N1618" s="76">
        <v>1000</v>
      </c>
      <c r="O1618" s="76">
        <v>690</v>
      </c>
      <c r="P1618" s="78">
        <v>0.31</v>
      </c>
    </row>
    <row r="1619" spans="7:16" x14ac:dyDescent="0.3">
      <c r="G1619" t="s">
        <v>3198</v>
      </c>
      <c r="H1619" s="76" t="s">
        <v>444</v>
      </c>
      <c r="I1619" s="76" t="s">
        <v>445</v>
      </c>
      <c r="J1619" s="76" t="s">
        <v>384</v>
      </c>
      <c r="K1619" s="76" t="s">
        <v>3199</v>
      </c>
      <c r="L1619" s="76" t="s">
        <v>379</v>
      </c>
      <c r="M1619" s="76" t="s">
        <v>1854</v>
      </c>
      <c r="N1619" s="76">
        <v>150</v>
      </c>
      <c r="O1619" s="76">
        <v>138</v>
      </c>
      <c r="P1619" s="78">
        <v>0.08</v>
      </c>
    </row>
    <row r="1620" spans="7:16" x14ac:dyDescent="0.3">
      <c r="G1620" t="s">
        <v>3200</v>
      </c>
      <c r="H1620" s="76" t="s">
        <v>494</v>
      </c>
      <c r="I1620" s="76" t="s">
        <v>465</v>
      </c>
      <c r="J1620" s="76" t="s">
        <v>366</v>
      </c>
      <c r="K1620" s="76" t="s">
        <v>2739</v>
      </c>
      <c r="L1620" s="76" t="s">
        <v>461</v>
      </c>
      <c r="M1620" s="76" t="s">
        <v>495</v>
      </c>
      <c r="N1620" s="76">
        <v>70</v>
      </c>
      <c r="O1620" s="76">
        <v>68</v>
      </c>
      <c r="P1620" s="78">
        <v>2.86E-2</v>
      </c>
    </row>
    <row r="1621" spans="7:16" x14ac:dyDescent="0.3">
      <c r="G1621" t="s">
        <v>3201</v>
      </c>
      <c r="H1621" s="76" t="s">
        <v>3191</v>
      </c>
      <c r="I1621" s="76" t="s">
        <v>465</v>
      </c>
      <c r="J1621" s="76" t="s">
        <v>366</v>
      </c>
      <c r="K1621" s="76" t="s">
        <v>3202</v>
      </c>
      <c r="L1621" s="76" t="s">
        <v>424</v>
      </c>
      <c r="M1621" s="76" t="s">
        <v>3203</v>
      </c>
      <c r="N1621" s="76">
        <v>500</v>
      </c>
      <c r="O1621" s="76">
        <v>490</v>
      </c>
      <c r="P1621" s="78">
        <v>0.02</v>
      </c>
    </row>
    <row r="1622" spans="7:16" x14ac:dyDescent="0.3">
      <c r="G1622" t="s">
        <v>3204</v>
      </c>
      <c r="H1622" s="76" t="s">
        <v>547</v>
      </c>
      <c r="I1622" s="76" t="s">
        <v>548</v>
      </c>
      <c r="J1622" s="76" t="s">
        <v>360</v>
      </c>
      <c r="K1622" s="77">
        <v>42279</v>
      </c>
      <c r="L1622" s="76" t="s">
        <v>391</v>
      </c>
      <c r="M1622" s="76" t="s">
        <v>1567</v>
      </c>
      <c r="N1622" s="76">
        <v>30</v>
      </c>
      <c r="O1622" s="76">
        <v>25</v>
      </c>
      <c r="P1622" s="78">
        <v>0.16669999999999999</v>
      </c>
    </row>
    <row r="1623" spans="7:16" x14ac:dyDescent="0.3">
      <c r="G1623" t="s">
        <v>3205</v>
      </c>
      <c r="H1623" s="76" t="s">
        <v>547</v>
      </c>
      <c r="I1623" s="76" t="s">
        <v>548</v>
      </c>
      <c r="J1623" s="76" t="s">
        <v>360</v>
      </c>
      <c r="K1623" s="76" t="s">
        <v>1133</v>
      </c>
      <c r="L1623" s="76" t="s">
        <v>405</v>
      </c>
      <c r="M1623" s="76" t="s">
        <v>549</v>
      </c>
      <c r="N1623" s="76">
        <v>800</v>
      </c>
      <c r="O1623" s="76">
        <v>576</v>
      </c>
      <c r="P1623" s="78">
        <v>0.28000000000000003</v>
      </c>
    </row>
    <row r="1624" spans="7:16" x14ac:dyDescent="0.3">
      <c r="G1624" t="s">
        <v>3206</v>
      </c>
      <c r="H1624" s="76" t="s">
        <v>675</v>
      </c>
      <c r="I1624" s="76" t="s">
        <v>676</v>
      </c>
      <c r="J1624" s="76" t="s">
        <v>384</v>
      </c>
      <c r="K1624" s="76" t="s">
        <v>3207</v>
      </c>
      <c r="L1624" s="76" t="s">
        <v>385</v>
      </c>
      <c r="M1624" s="76" t="s">
        <v>1395</v>
      </c>
      <c r="N1624" s="76">
        <v>50</v>
      </c>
      <c r="O1624" s="76">
        <v>48</v>
      </c>
      <c r="P1624" s="78">
        <v>0.04</v>
      </c>
    </row>
    <row r="1625" spans="7:16" x14ac:dyDescent="0.3">
      <c r="G1625" t="s">
        <v>3208</v>
      </c>
      <c r="H1625" s="76" t="s">
        <v>656</v>
      </c>
      <c r="I1625" s="76" t="s">
        <v>657</v>
      </c>
      <c r="J1625" s="76" t="s">
        <v>360</v>
      </c>
      <c r="K1625" s="77">
        <v>42465</v>
      </c>
      <c r="L1625" s="76" t="s">
        <v>475</v>
      </c>
      <c r="M1625" s="76" t="s">
        <v>2109</v>
      </c>
      <c r="N1625" s="76">
        <v>250</v>
      </c>
      <c r="O1625" s="76">
        <v>233</v>
      </c>
      <c r="P1625" s="78">
        <v>6.8000000000000005E-2</v>
      </c>
    </row>
    <row r="1626" spans="7:16" x14ac:dyDescent="0.3">
      <c r="G1626" t="s">
        <v>3209</v>
      </c>
      <c r="H1626" s="76" t="s">
        <v>459</v>
      </c>
      <c r="I1626" s="76" t="s">
        <v>422</v>
      </c>
      <c r="J1626" s="76" t="s">
        <v>384</v>
      </c>
      <c r="K1626" s="76" t="s">
        <v>1687</v>
      </c>
      <c r="L1626" s="76" t="s">
        <v>475</v>
      </c>
      <c r="M1626" s="76" t="s">
        <v>1120</v>
      </c>
      <c r="N1626" s="76">
        <v>250</v>
      </c>
      <c r="O1626" s="76">
        <v>230</v>
      </c>
      <c r="P1626" s="78">
        <v>0.08</v>
      </c>
    </row>
    <row r="1627" spans="7:16" x14ac:dyDescent="0.3">
      <c r="G1627" t="s">
        <v>3210</v>
      </c>
      <c r="H1627" s="76" t="s">
        <v>358</v>
      </c>
      <c r="I1627" s="76" t="s">
        <v>359</v>
      </c>
      <c r="J1627" s="76" t="s">
        <v>360</v>
      </c>
      <c r="K1627" s="77">
        <v>41978</v>
      </c>
      <c r="L1627" s="76" t="s">
        <v>373</v>
      </c>
      <c r="M1627" s="76" t="s">
        <v>683</v>
      </c>
      <c r="N1627" s="76">
        <v>700</v>
      </c>
      <c r="O1627" s="76">
        <v>679</v>
      </c>
      <c r="P1627" s="78">
        <v>0.03</v>
      </c>
    </row>
    <row r="1628" spans="7:16" x14ac:dyDescent="0.3">
      <c r="G1628" t="s">
        <v>3211</v>
      </c>
      <c r="H1628" s="76" t="s">
        <v>551</v>
      </c>
      <c r="I1628" s="76" t="s">
        <v>552</v>
      </c>
      <c r="J1628" s="76" t="s">
        <v>360</v>
      </c>
      <c r="K1628" s="76" t="s">
        <v>2055</v>
      </c>
      <c r="L1628" s="76" t="s">
        <v>385</v>
      </c>
      <c r="M1628" s="76" t="s">
        <v>2255</v>
      </c>
      <c r="N1628" s="76">
        <v>50</v>
      </c>
      <c r="O1628" s="76">
        <v>44</v>
      </c>
      <c r="P1628" s="78">
        <v>0.12</v>
      </c>
    </row>
    <row r="1629" spans="7:16" x14ac:dyDescent="0.3">
      <c r="G1629" t="s">
        <v>3212</v>
      </c>
      <c r="H1629" s="76" t="s">
        <v>469</v>
      </c>
      <c r="I1629" s="76" t="s">
        <v>435</v>
      </c>
      <c r="J1629" s="76" t="s">
        <v>360</v>
      </c>
      <c r="K1629" s="76" t="s">
        <v>2218</v>
      </c>
      <c r="L1629" s="76" t="s">
        <v>391</v>
      </c>
      <c r="M1629" s="76" t="s">
        <v>922</v>
      </c>
      <c r="N1629" s="76">
        <v>30</v>
      </c>
      <c r="O1629" s="76">
        <v>29</v>
      </c>
      <c r="P1629" s="78">
        <v>3.3300000000000003E-2</v>
      </c>
    </row>
    <row r="1630" spans="7:16" x14ac:dyDescent="0.3">
      <c r="G1630" t="s">
        <v>3213</v>
      </c>
      <c r="H1630" s="76" t="s">
        <v>434</v>
      </c>
      <c r="I1630" s="76" t="s">
        <v>435</v>
      </c>
      <c r="J1630" s="76" t="s">
        <v>360</v>
      </c>
      <c r="K1630" s="77">
        <v>42341</v>
      </c>
      <c r="L1630" s="76" t="s">
        <v>373</v>
      </c>
      <c r="M1630" s="76" t="s">
        <v>2305</v>
      </c>
      <c r="N1630" s="76">
        <v>700</v>
      </c>
      <c r="O1630" s="76">
        <v>462</v>
      </c>
      <c r="P1630" s="78">
        <v>0.34</v>
      </c>
    </row>
    <row r="1631" spans="7:16" x14ac:dyDescent="0.3">
      <c r="G1631" t="s">
        <v>3214</v>
      </c>
      <c r="H1631" s="76" t="s">
        <v>421</v>
      </c>
      <c r="I1631" s="76" t="s">
        <v>422</v>
      </c>
      <c r="J1631" s="76" t="s">
        <v>384</v>
      </c>
      <c r="K1631" s="76" t="s">
        <v>1685</v>
      </c>
      <c r="L1631" s="76" t="s">
        <v>411</v>
      </c>
      <c r="M1631" s="76" t="s">
        <v>1596</v>
      </c>
      <c r="N1631" s="76">
        <v>1000</v>
      </c>
      <c r="O1631" s="76">
        <v>860</v>
      </c>
      <c r="P1631" s="78">
        <v>0.14000000000000001</v>
      </c>
    </row>
    <row r="1632" spans="7:16" x14ac:dyDescent="0.3">
      <c r="G1632" t="s">
        <v>3215</v>
      </c>
      <c r="H1632" s="76" t="s">
        <v>370</v>
      </c>
      <c r="I1632" s="76" t="s">
        <v>371</v>
      </c>
      <c r="J1632" s="76" t="s">
        <v>372</v>
      </c>
      <c r="K1632" s="76" t="s">
        <v>1649</v>
      </c>
      <c r="L1632" s="76" t="s">
        <v>483</v>
      </c>
      <c r="M1632" s="76" t="s">
        <v>374</v>
      </c>
      <c r="N1632" s="76">
        <v>50</v>
      </c>
      <c r="O1632" s="76">
        <v>37</v>
      </c>
      <c r="P1632" s="78">
        <v>0.26</v>
      </c>
    </row>
    <row r="1633" spans="7:16" x14ac:dyDescent="0.3">
      <c r="G1633" t="s">
        <v>3216</v>
      </c>
      <c r="H1633" s="76" t="s">
        <v>547</v>
      </c>
      <c r="I1633" s="76" t="s">
        <v>548</v>
      </c>
      <c r="J1633" s="76" t="s">
        <v>360</v>
      </c>
      <c r="K1633" s="76" t="s">
        <v>3217</v>
      </c>
      <c r="L1633" s="76" t="s">
        <v>475</v>
      </c>
      <c r="M1633" s="76" t="s">
        <v>2779</v>
      </c>
      <c r="N1633" s="76">
        <v>250</v>
      </c>
      <c r="O1633" s="76">
        <v>173</v>
      </c>
      <c r="P1633" s="78">
        <v>0.308</v>
      </c>
    </row>
    <row r="1634" spans="7:16" x14ac:dyDescent="0.3">
      <c r="G1634" t="s">
        <v>3218</v>
      </c>
      <c r="H1634" s="76" t="s">
        <v>845</v>
      </c>
      <c r="I1634" s="76" t="s">
        <v>846</v>
      </c>
      <c r="J1634" s="76" t="s">
        <v>360</v>
      </c>
      <c r="K1634" s="77">
        <v>42863</v>
      </c>
      <c r="L1634" s="76" t="s">
        <v>373</v>
      </c>
      <c r="M1634" s="76" t="s">
        <v>2025</v>
      </c>
      <c r="N1634" s="76">
        <v>700</v>
      </c>
      <c r="O1634" s="76">
        <v>637</v>
      </c>
      <c r="P1634" s="78">
        <v>0.09</v>
      </c>
    </row>
    <row r="1635" spans="7:16" x14ac:dyDescent="0.3">
      <c r="G1635" t="s">
        <v>3219</v>
      </c>
      <c r="H1635" s="76" t="s">
        <v>3191</v>
      </c>
      <c r="I1635" s="76" t="s">
        <v>465</v>
      </c>
      <c r="J1635" s="76" t="s">
        <v>366</v>
      </c>
      <c r="K1635" s="76" t="s">
        <v>3220</v>
      </c>
      <c r="L1635" s="76" t="s">
        <v>461</v>
      </c>
      <c r="M1635" s="76" t="s">
        <v>3192</v>
      </c>
      <c r="N1635" s="76">
        <v>70</v>
      </c>
      <c r="O1635" s="76">
        <v>48</v>
      </c>
      <c r="P1635" s="78">
        <v>0.31430000000000002</v>
      </c>
    </row>
    <row r="1636" spans="7:16" x14ac:dyDescent="0.3">
      <c r="G1636" t="s">
        <v>3221</v>
      </c>
      <c r="H1636" s="76" t="s">
        <v>364</v>
      </c>
      <c r="I1636" s="76" t="s">
        <v>365</v>
      </c>
      <c r="J1636" s="76" t="s">
        <v>366</v>
      </c>
      <c r="K1636" s="76" t="s">
        <v>3222</v>
      </c>
      <c r="L1636" s="76" t="s">
        <v>461</v>
      </c>
      <c r="M1636" s="76" t="s">
        <v>1037</v>
      </c>
      <c r="N1636" s="76">
        <v>70</v>
      </c>
      <c r="O1636" s="76">
        <v>43</v>
      </c>
      <c r="P1636" s="78">
        <v>0.38569999999999999</v>
      </c>
    </row>
    <row r="1637" spans="7:16" x14ac:dyDescent="0.3">
      <c r="G1637" t="s">
        <v>3223</v>
      </c>
      <c r="H1637" s="76" t="s">
        <v>388</v>
      </c>
      <c r="I1637" s="76" t="s">
        <v>389</v>
      </c>
      <c r="J1637" s="76" t="s">
        <v>384</v>
      </c>
      <c r="K1637" s="77">
        <v>42073</v>
      </c>
      <c r="L1637" s="76" t="s">
        <v>391</v>
      </c>
      <c r="M1637" s="76" t="s">
        <v>2053</v>
      </c>
      <c r="N1637" s="76">
        <v>30</v>
      </c>
      <c r="O1637" s="76">
        <v>21</v>
      </c>
      <c r="P1637" s="78">
        <v>0.3</v>
      </c>
    </row>
    <row r="1638" spans="7:16" x14ac:dyDescent="0.3">
      <c r="G1638" t="s">
        <v>3224</v>
      </c>
      <c r="H1638" s="76" t="s">
        <v>551</v>
      </c>
      <c r="I1638" s="76" t="s">
        <v>552</v>
      </c>
      <c r="J1638" s="76" t="s">
        <v>360</v>
      </c>
      <c r="K1638" s="76" t="s">
        <v>1661</v>
      </c>
      <c r="L1638" s="76" t="s">
        <v>379</v>
      </c>
      <c r="M1638" s="76" t="s">
        <v>609</v>
      </c>
      <c r="N1638" s="76">
        <v>150</v>
      </c>
      <c r="O1638" s="76">
        <v>107</v>
      </c>
      <c r="P1638" s="78">
        <v>0.28670000000000001</v>
      </c>
    </row>
    <row r="1639" spans="7:16" x14ac:dyDescent="0.3">
      <c r="G1639" t="s">
        <v>3225</v>
      </c>
      <c r="H1639" s="76" t="s">
        <v>591</v>
      </c>
      <c r="I1639" s="76" t="s">
        <v>592</v>
      </c>
      <c r="J1639" s="76" t="s">
        <v>372</v>
      </c>
      <c r="K1639" s="77">
        <v>41709</v>
      </c>
      <c r="L1639" s="76" t="s">
        <v>385</v>
      </c>
      <c r="M1639" s="76" t="s">
        <v>1160</v>
      </c>
      <c r="N1639" s="76">
        <v>50</v>
      </c>
      <c r="O1639" s="76">
        <v>48</v>
      </c>
      <c r="P1639" s="78">
        <v>0.04</v>
      </c>
    </row>
    <row r="1640" spans="7:16" x14ac:dyDescent="0.3">
      <c r="G1640" t="s">
        <v>3226</v>
      </c>
      <c r="H1640" s="76" t="s">
        <v>3165</v>
      </c>
      <c r="I1640" s="76" t="s">
        <v>365</v>
      </c>
      <c r="J1640" s="76" t="s">
        <v>366</v>
      </c>
      <c r="K1640" s="77">
        <v>42806</v>
      </c>
      <c r="L1640" s="76" t="s">
        <v>483</v>
      </c>
      <c r="M1640" s="76" t="s">
        <v>3227</v>
      </c>
      <c r="N1640" s="76">
        <v>50</v>
      </c>
      <c r="O1640" s="76">
        <v>45</v>
      </c>
      <c r="P1640" s="78">
        <v>0.1</v>
      </c>
    </row>
    <row r="1641" spans="7:16" x14ac:dyDescent="0.3">
      <c r="G1641" t="s">
        <v>3228</v>
      </c>
      <c r="H1641" s="76" t="s">
        <v>382</v>
      </c>
      <c r="I1641" s="76" t="s">
        <v>383</v>
      </c>
      <c r="J1641" s="76" t="s">
        <v>384</v>
      </c>
      <c r="K1641" s="77">
        <v>42618</v>
      </c>
      <c r="L1641" s="76" t="s">
        <v>461</v>
      </c>
      <c r="M1641" s="76" t="s">
        <v>533</v>
      </c>
      <c r="N1641" s="76">
        <v>70</v>
      </c>
      <c r="O1641" s="76">
        <v>68</v>
      </c>
      <c r="P1641" s="78">
        <v>2.86E-2</v>
      </c>
    </row>
    <row r="1642" spans="7:16" x14ac:dyDescent="0.3">
      <c r="G1642" t="s">
        <v>3229</v>
      </c>
      <c r="H1642" s="76" t="s">
        <v>494</v>
      </c>
      <c r="I1642" s="76" t="s">
        <v>465</v>
      </c>
      <c r="J1642" s="76" t="s">
        <v>366</v>
      </c>
      <c r="K1642" s="76" t="s">
        <v>3230</v>
      </c>
      <c r="L1642" s="76" t="s">
        <v>385</v>
      </c>
      <c r="M1642" s="76" t="s">
        <v>495</v>
      </c>
      <c r="N1642" s="76">
        <v>50</v>
      </c>
      <c r="O1642" s="76">
        <v>45</v>
      </c>
      <c r="P1642" s="78">
        <v>0.1</v>
      </c>
    </row>
    <row r="1643" spans="7:16" x14ac:dyDescent="0.3">
      <c r="G1643" t="s">
        <v>3231</v>
      </c>
      <c r="H1643" s="76" t="s">
        <v>3191</v>
      </c>
      <c r="I1643" s="76" t="s">
        <v>465</v>
      </c>
      <c r="J1643" s="76" t="s">
        <v>366</v>
      </c>
      <c r="K1643" s="76" t="s">
        <v>3232</v>
      </c>
      <c r="L1643" s="76" t="s">
        <v>385</v>
      </c>
      <c r="M1643" s="76" t="s">
        <v>3192</v>
      </c>
      <c r="N1643" s="76">
        <v>50</v>
      </c>
      <c r="O1643" s="76">
        <v>48</v>
      </c>
      <c r="P1643" s="78">
        <v>0.04</v>
      </c>
    </row>
    <row r="1644" spans="7:16" x14ac:dyDescent="0.3">
      <c r="G1644" t="s">
        <v>3233</v>
      </c>
      <c r="H1644" s="76" t="s">
        <v>747</v>
      </c>
      <c r="I1644" s="76" t="s">
        <v>748</v>
      </c>
      <c r="J1644" s="76" t="s">
        <v>360</v>
      </c>
      <c r="K1644" s="76" t="s">
        <v>635</v>
      </c>
      <c r="L1644" s="76" t="s">
        <v>405</v>
      </c>
      <c r="M1644" s="76" t="s">
        <v>1901</v>
      </c>
      <c r="N1644" s="76">
        <v>800</v>
      </c>
      <c r="O1644" s="76">
        <v>704</v>
      </c>
      <c r="P1644" s="78">
        <v>0.12</v>
      </c>
    </row>
    <row r="1645" spans="7:16" x14ac:dyDescent="0.3">
      <c r="G1645" t="s">
        <v>3234</v>
      </c>
      <c r="H1645" s="76" t="s">
        <v>591</v>
      </c>
      <c r="I1645" s="76" t="s">
        <v>592</v>
      </c>
      <c r="J1645" s="76" t="s">
        <v>372</v>
      </c>
      <c r="K1645" s="76" t="s">
        <v>1842</v>
      </c>
      <c r="L1645" s="76" t="s">
        <v>361</v>
      </c>
      <c r="M1645" s="76" t="s">
        <v>2285</v>
      </c>
      <c r="N1645" s="76">
        <v>80</v>
      </c>
      <c r="O1645" s="76">
        <v>80</v>
      </c>
      <c r="P1645" s="78">
        <v>0</v>
      </c>
    </row>
    <row r="1646" spans="7:16" x14ac:dyDescent="0.3">
      <c r="G1646" t="s">
        <v>3235</v>
      </c>
      <c r="H1646" s="76" t="s">
        <v>566</v>
      </c>
      <c r="I1646" s="76" t="s">
        <v>567</v>
      </c>
      <c r="J1646" s="76" t="s">
        <v>360</v>
      </c>
      <c r="K1646" s="76" t="s">
        <v>3061</v>
      </c>
      <c r="L1646" s="76" t="s">
        <v>391</v>
      </c>
      <c r="M1646" s="76" t="s">
        <v>1227</v>
      </c>
      <c r="N1646" s="76">
        <v>30</v>
      </c>
      <c r="O1646" s="76">
        <v>30</v>
      </c>
      <c r="P1646" s="78">
        <v>0</v>
      </c>
    </row>
    <row r="1647" spans="7:16" x14ac:dyDescent="0.3">
      <c r="G1647" t="s">
        <v>3236</v>
      </c>
      <c r="H1647" s="76" t="s">
        <v>519</v>
      </c>
      <c r="I1647" s="76" t="s">
        <v>520</v>
      </c>
      <c r="J1647" s="76" t="s">
        <v>360</v>
      </c>
      <c r="K1647" s="76" t="s">
        <v>3237</v>
      </c>
      <c r="L1647" s="76" t="s">
        <v>475</v>
      </c>
      <c r="M1647" s="76" t="s">
        <v>1416</v>
      </c>
      <c r="N1647" s="76">
        <v>250</v>
      </c>
      <c r="O1647" s="76">
        <v>160</v>
      </c>
      <c r="P1647" s="78">
        <v>0.36</v>
      </c>
    </row>
    <row r="1648" spans="7:16" x14ac:dyDescent="0.3">
      <c r="G1648" t="s">
        <v>3238</v>
      </c>
      <c r="H1648" s="76" t="s">
        <v>566</v>
      </c>
      <c r="I1648" s="76" t="s">
        <v>567</v>
      </c>
      <c r="J1648" s="76" t="s">
        <v>360</v>
      </c>
      <c r="K1648" s="76" t="s">
        <v>3239</v>
      </c>
      <c r="L1648" s="76" t="s">
        <v>483</v>
      </c>
      <c r="M1648" s="76" t="s">
        <v>569</v>
      </c>
      <c r="N1648" s="76">
        <v>50</v>
      </c>
      <c r="O1648" s="76">
        <v>43</v>
      </c>
      <c r="P1648" s="78">
        <v>0.14000000000000001</v>
      </c>
    </row>
    <row r="1649" spans="7:16" x14ac:dyDescent="0.3">
      <c r="G1649" t="s">
        <v>3240</v>
      </c>
      <c r="H1649" s="76" t="s">
        <v>566</v>
      </c>
      <c r="I1649" s="76" t="s">
        <v>567</v>
      </c>
      <c r="J1649" s="76" t="s">
        <v>360</v>
      </c>
      <c r="K1649" s="76" t="s">
        <v>3241</v>
      </c>
      <c r="L1649" s="76" t="s">
        <v>424</v>
      </c>
      <c r="M1649" s="76" t="s">
        <v>569</v>
      </c>
      <c r="N1649" s="76">
        <v>500</v>
      </c>
      <c r="O1649" s="76">
        <v>495</v>
      </c>
      <c r="P1649" s="78">
        <v>0.01</v>
      </c>
    </row>
    <row r="1650" spans="7:16" x14ac:dyDescent="0.3">
      <c r="G1650" t="s">
        <v>3242</v>
      </c>
      <c r="H1650" s="76" t="s">
        <v>638</v>
      </c>
      <c r="I1650" s="76" t="s">
        <v>639</v>
      </c>
      <c r="J1650" s="76" t="s">
        <v>360</v>
      </c>
      <c r="K1650" s="76" t="s">
        <v>2015</v>
      </c>
      <c r="L1650" s="76" t="s">
        <v>391</v>
      </c>
      <c r="M1650" s="76" t="s">
        <v>3243</v>
      </c>
      <c r="N1650" s="76">
        <v>30</v>
      </c>
      <c r="O1650" s="76">
        <v>27</v>
      </c>
      <c r="P1650" s="78">
        <v>0.1</v>
      </c>
    </row>
    <row r="1651" spans="7:16" x14ac:dyDescent="0.3">
      <c r="G1651" t="s">
        <v>3244</v>
      </c>
      <c r="H1651" s="76" t="s">
        <v>845</v>
      </c>
      <c r="I1651" s="76" t="s">
        <v>846</v>
      </c>
      <c r="J1651" s="76" t="s">
        <v>360</v>
      </c>
      <c r="K1651" s="76" t="s">
        <v>730</v>
      </c>
      <c r="L1651" s="76" t="s">
        <v>361</v>
      </c>
      <c r="M1651" s="76" t="s">
        <v>2620</v>
      </c>
      <c r="N1651" s="76">
        <v>80</v>
      </c>
      <c r="O1651" s="76">
        <v>61</v>
      </c>
      <c r="P1651" s="78">
        <v>0.23749999999999999</v>
      </c>
    </row>
    <row r="1652" spans="7:16" x14ac:dyDescent="0.3">
      <c r="G1652" t="s">
        <v>3245</v>
      </c>
      <c r="H1652" s="76" t="s">
        <v>560</v>
      </c>
      <c r="I1652" s="76" t="s">
        <v>465</v>
      </c>
      <c r="J1652" s="76" t="s">
        <v>366</v>
      </c>
      <c r="K1652" s="76" t="s">
        <v>2837</v>
      </c>
      <c r="L1652" s="76" t="s">
        <v>411</v>
      </c>
      <c r="M1652" s="76" t="s">
        <v>3246</v>
      </c>
      <c r="N1652" s="76">
        <v>1000</v>
      </c>
      <c r="O1652" s="76">
        <v>990</v>
      </c>
      <c r="P1652" s="78">
        <v>0.01</v>
      </c>
    </row>
    <row r="1653" spans="7:16" x14ac:dyDescent="0.3">
      <c r="G1653" t="s">
        <v>3247</v>
      </c>
      <c r="H1653" s="76" t="s">
        <v>528</v>
      </c>
      <c r="I1653" s="76" t="s">
        <v>465</v>
      </c>
      <c r="J1653" s="76" t="s">
        <v>366</v>
      </c>
      <c r="K1653" s="76" t="s">
        <v>3248</v>
      </c>
      <c r="L1653" s="76" t="s">
        <v>385</v>
      </c>
      <c r="M1653" s="76" t="s">
        <v>2032</v>
      </c>
      <c r="N1653" s="76">
        <v>50</v>
      </c>
      <c r="O1653" s="76">
        <v>45</v>
      </c>
      <c r="P1653" s="78">
        <v>0.1</v>
      </c>
    </row>
    <row r="1654" spans="7:16" x14ac:dyDescent="0.3">
      <c r="G1654" t="s">
        <v>3249</v>
      </c>
      <c r="H1654" s="76" t="s">
        <v>3165</v>
      </c>
      <c r="I1654" s="76" t="s">
        <v>365</v>
      </c>
      <c r="J1654" s="76" t="s">
        <v>366</v>
      </c>
      <c r="K1654" s="76" t="s">
        <v>3250</v>
      </c>
      <c r="L1654" s="76" t="s">
        <v>475</v>
      </c>
      <c r="M1654" s="76" t="s">
        <v>3251</v>
      </c>
      <c r="N1654" s="76">
        <v>250</v>
      </c>
      <c r="O1654" s="76">
        <v>243</v>
      </c>
      <c r="P1654" s="78">
        <v>2.8000000000000001E-2</v>
      </c>
    </row>
    <row r="1655" spans="7:16" x14ac:dyDescent="0.3">
      <c r="G1655" t="s">
        <v>3252</v>
      </c>
      <c r="H1655" s="76" t="s">
        <v>514</v>
      </c>
      <c r="I1655" s="76" t="s">
        <v>515</v>
      </c>
      <c r="J1655" s="76" t="s">
        <v>360</v>
      </c>
      <c r="K1655" s="77">
        <v>42286</v>
      </c>
      <c r="L1655" s="76" t="s">
        <v>361</v>
      </c>
      <c r="M1655" s="76" t="s">
        <v>2094</v>
      </c>
      <c r="N1655" s="76">
        <v>80</v>
      </c>
      <c r="O1655" s="76">
        <v>53</v>
      </c>
      <c r="P1655" s="78">
        <v>0.33750000000000002</v>
      </c>
    </row>
    <row r="1656" spans="7:16" x14ac:dyDescent="0.3">
      <c r="G1656" t="s">
        <v>3253</v>
      </c>
      <c r="H1656" s="76" t="s">
        <v>370</v>
      </c>
      <c r="I1656" s="76" t="s">
        <v>371</v>
      </c>
      <c r="J1656" s="76" t="s">
        <v>372</v>
      </c>
      <c r="K1656" s="77">
        <v>41671</v>
      </c>
      <c r="L1656" s="76" t="s">
        <v>411</v>
      </c>
      <c r="M1656" s="76" t="s">
        <v>512</v>
      </c>
      <c r="N1656" s="76">
        <v>1000</v>
      </c>
      <c r="O1656" s="76">
        <v>590</v>
      </c>
      <c r="P1656" s="78">
        <v>0.41</v>
      </c>
    </row>
    <row r="1657" spans="7:16" x14ac:dyDescent="0.3">
      <c r="G1657" t="s">
        <v>3254</v>
      </c>
      <c r="H1657" s="76" t="s">
        <v>459</v>
      </c>
      <c r="I1657" s="76" t="s">
        <v>422</v>
      </c>
      <c r="J1657" s="76" t="s">
        <v>384</v>
      </c>
      <c r="K1657" s="76" t="s">
        <v>3255</v>
      </c>
      <c r="L1657" s="76" t="s">
        <v>379</v>
      </c>
      <c r="M1657" s="76" t="s">
        <v>977</v>
      </c>
      <c r="N1657" s="76">
        <v>150</v>
      </c>
      <c r="O1657" s="76">
        <v>138</v>
      </c>
      <c r="P1657" s="78">
        <v>0.08</v>
      </c>
    </row>
    <row r="1658" spans="7:16" x14ac:dyDescent="0.3">
      <c r="G1658" t="s">
        <v>3256</v>
      </c>
      <c r="H1658" s="76" t="s">
        <v>3257</v>
      </c>
      <c r="I1658" s="76" t="s">
        <v>465</v>
      </c>
      <c r="J1658" s="76" t="s">
        <v>366</v>
      </c>
      <c r="K1658" s="77">
        <v>42341</v>
      </c>
      <c r="L1658" s="76" t="s">
        <v>373</v>
      </c>
      <c r="M1658" s="76" t="s">
        <v>3258</v>
      </c>
      <c r="N1658" s="76">
        <v>700</v>
      </c>
      <c r="O1658" s="76">
        <v>560</v>
      </c>
      <c r="P1658" s="78">
        <v>0.2</v>
      </c>
    </row>
    <row r="1659" spans="7:16" x14ac:dyDescent="0.3">
      <c r="G1659" t="s">
        <v>3259</v>
      </c>
      <c r="H1659" s="76" t="s">
        <v>3191</v>
      </c>
      <c r="I1659" s="76" t="s">
        <v>465</v>
      </c>
      <c r="J1659" s="76" t="s">
        <v>366</v>
      </c>
      <c r="K1659" s="76" t="s">
        <v>3260</v>
      </c>
      <c r="L1659" s="76" t="s">
        <v>405</v>
      </c>
      <c r="M1659" s="76" t="s">
        <v>3203</v>
      </c>
      <c r="N1659" s="76">
        <v>800</v>
      </c>
      <c r="O1659" s="76">
        <v>512</v>
      </c>
      <c r="P1659" s="78">
        <v>0.36</v>
      </c>
    </row>
    <row r="1660" spans="7:16" x14ac:dyDescent="0.3">
      <c r="G1660" t="s">
        <v>3261</v>
      </c>
      <c r="H1660" s="76" t="s">
        <v>747</v>
      </c>
      <c r="I1660" s="76" t="s">
        <v>748</v>
      </c>
      <c r="J1660" s="76" t="s">
        <v>360</v>
      </c>
      <c r="K1660" s="77">
        <v>42799</v>
      </c>
      <c r="L1660" s="76" t="s">
        <v>391</v>
      </c>
      <c r="M1660" s="76" t="s">
        <v>1977</v>
      </c>
      <c r="N1660" s="76">
        <v>30</v>
      </c>
      <c r="O1660" s="76">
        <v>29</v>
      </c>
      <c r="P1660" s="78">
        <v>3.3300000000000003E-2</v>
      </c>
    </row>
    <row r="1661" spans="7:16" x14ac:dyDescent="0.3">
      <c r="G1661" t="s">
        <v>3262</v>
      </c>
      <c r="H1661" s="76" t="s">
        <v>414</v>
      </c>
      <c r="I1661" s="76" t="s">
        <v>415</v>
      </c>
      <c r="J1661" s="76" t="s">
        <v>384</v>
      </c>
      <c r="K1661" s="76" t="s">
        <v>3263</v>
      </c>
      <c r="L1661" s="76" t="s">
        <v>379</v>
      </c>
      <c r="M1661" s="76" t="s">
        <v>2361</v>
      </c>
      <c r="N1661" s="76">
        <v>150</v>
      </c>
      <c r="O1661" s="76">
        <v>144</v>
      </c>
      <c r="P1661" s="78">
        <v>0.04</v>
      </c>
    </row>
    <row r="1662" spans="7:16" x14ac:dyDescent="0.3">
      <c r="G1662" t="s">
        <v>3264</v>
      </c>
      <c r="H1662" s="76" t="s">
        <v>399</v>
      </c>
      <c r="I1662" s="76" t="s">
        <v>400</v>
      </c>
      <c r="J1662" s="76" t="s">
        <v>372</v>
      </c>
      <c r="K1662" s="76" t="s">
        <v>521</v>
      </c>
      <c r="L1662" s="76" t="s">
        <v>461</v>
      </c>
      <c r="M1662" s="76" t="s">
        <v>1536</v>
      </c>
      <c r="N1662" s="76">
        <v>70</v>
      </c>
      <c r="O1662" s="76">
        <v>70</v>
      </c>
      <c r="P1662" s="78">
        <v>0</v>
      </c>
    </row>
    <row r="1663" spans="7:16" x14ac:dyDescent="0.3">
      <c r="G1663" t="s">
        <v>3265</v>
      </c>
      <c r="H1663" s="76" t="s">
        <v>656</v>
      </c>
      <c r="I1663" s="76" t="s">
        <v>657</v>
      </c>
      <c r="J1663" s="76" t="s">
        <v>360</v>
      </c>
      <c r="K1663" s="77">
        <v>42990</v>
      </c>
      <c r="L1663" s="76" t="s">
        <v>396</v>
      </c>
      <c r="M1663" s="76" t="s">
        <v>1010</v>
      </c>
      <c r="N1663" s="76">
        <v>500</v>
      </c>
      <c r="O1663" s="76">
        <v>470</v>
      </c>
      <c r="P1663" s="78">
        <v>0.06</v>
      </c>
    </row>
    <row r="1664" spans="7:16" x14ac:dyDescent="0.3">
      <c r="G1664" t="s">
        <v>3266</v>
      </c>
      <c r="H1664" s="76" t="s">
        <v>497</v>
      </c>
      <c r="I1664" s="76" t="s">
        <v>445</v>
      </c>
      <c r="J1664" s="76" t="s">
        <v>384</v>
      </c>
      <c r="K1664" s="77">
        <v>43076</v>
      </c>
      <c r="L1664" s="76" t="s">
        <v>396</v>
      </c>
      <c r="M1664" s="76" t="s">
        <v>1734</v>
      </c>
      <c r="N1664" s="76">
        <v>500</v>
      </c>
      <c r="O1664" s="76">
        <v>480</v>
      </c>
      <c r="P1664" s="78">
        <v>0.04</v>
      </c>
    </row>
    <row r="1665" spans="7:16" x14ac:dyDescent="0.3">
      <c r="G1665" t="s">
        <v>3267</v>
      </c>
      <c r="H1665" s="76" t="s">
        <v>611</v>
      </c>
      <c r="I1665" s="76" t="s">
        <v>389</v>
      </c>
      <c r="J1665" s="76" t="s">
        <v>384</v>
      </c>
      <c r="K1665" s="76" t="s">
        <v>3268</v>
      </c>
      <c r="L1665" s="76" t="s">
        <v>396</v>
      </c>
      <c r="M1665" s="76" t="s">
        <v>1729</v>
      </c>
      <c r="N1665" s="76">
        <v>500</v>
      </c>
      <c r="O1665" s="76">
        <v>435</v>
      </c>
      <c r="P1665" s="78">
        <v>0.13</v>
      </c>
    </row>
    <row r="1666" spans="7:16" x14ac:dyDescent="0.3">
      <c r="G1666" t="s">
        <v>3269</v>
      </c>
      <c r="H1666" s="76" t="s">
        <v>438</v>
      </c>
      <c r="I1666" s="76" t="s">
        <v>439</v>
      </c>
      <c r="J1666" s="76" t="s">
        <v>360</v>
      </c>
      <c r="K1666" s="76" t="s">
        <v>2314</v>
      </c>
      <c r="L1666" s="76" t="s">
        <v>391</v>
      </c>
      <c r="M1666" s="76" t="s">
        <v>440</v>
      </c>
      <c r="N1666" s="76">
        <v>30</v>
      </c>
      <c r="O1666" s="76">
        <v>27</v>
      </c>
      <c r="P1666" s="78">
        <v>0.1</v>
      </c>
    </row>
    <row r="1667" spans="7:16" x14ac:dyDescent="0.3">
      <c r="G1667" t="s">
        <v>3270</v>
      </c>
      <c r="H1667" s="76" t="s">
        <v>675</v>
      </c>
      <c r="I1667" s="76" t="s">
        <v>676</v>
      </c>
      <c r="J1667" s="76" t="s">
        <v>384</v>
      </c>
      <c r="K1667" s="76" t="s">
        <v>3271</v>
      </c>
      <c r="L1667" s="76" t="s">
        <v>411</v>
      </c>
      <c r="M1667" s="76" t="s">
        <v>2728</v>
      </c>
      <c r="N1667" s="76">
        <v>1000</v>
      </c>
      <c r="O1667" s="76">
        <v>930</v>
      </c>
      <c r="P1667" s="78">
        <v>7.0000000000000007E-2</v>
      </c>
    </row>
    <row r="1668" spans="7:16" x14ac:dyDescent="0.3">
      <c r="G1668" t="s">
        <v>3272</v>
      </c>
      <c r="H1668" s="76" t="s">
        <v>747</v>
      </c>
      <c r="I1668" s="76" t="s">
        <v>748</v>
      </c>
      <c r="J1668" s="76" t="s">
        <v>360</v>
      </c>
      <c r="K1668" s="76" t="s">
        <v>3273</v>
      </c>
      <c r="L1668" s="76" t="s">
        <v>461</v>
      </c>
      <c r="M1668" s="76" t="s">
        <v>1100</v>
      </c>
      <c r="N1668" s="76">
        <v>70</v>
      </c>
      <c r="O1668" s="76">
        <v>68</v>
      </c>
      <c r="P1668" s="78">
        <v>2.86E-2</v>
      </c>
    </row>
    <row r="1669" spans="7:16" x14ac:dyDescent="0.3">
      <c r="G1669" t="s">
        <v>3274</v>
      </c>
      <c r="H1669" s="76" t="s">
        <v>668</v>
      </c>
      <c r="I1669" s="76" t="s">
        <v>669</v>
      </c>
      <c r="J1669" s="76" t="s">
        <v>360</v>
      </c>
      <c r="K1669" s="76" t="s">
        <v>919</v>
      </c>
      <c r="L1669" s="76" t="s">
        <v>396</v>
      </c>
      <c r="M1669" s="76" t="s">
        <v>736</v>
      </c>
      <c r="N1669" s="76">
        <v>500</v>
      </c>
      <c r="O1669" s="76">
        <v>460</v>
      </c>
      <c r="P1669" s="78">
        <v>0.08</v>
      </c>
    </row>
    <row r="1670" spans="7:16" x14ac:dyDescent="0.3">
      <c r="G1670" t="s">
        <v>3275</v>
      </c>
      <c r="H1670" s="76" t="s">
        <v>449</v>
      </c>
      <c r="I1670" s="76" t="s">
        <v>450</v>
      </c>
      <c r="J1670" s="76" t="s">
        <v>360</v>
      </c>
      <c r="K1670" s="76" t="s">
        <v>1052</v>
      </c>
      <c r="L1670" s="76" t="s">
        <v>475</v>
      </c>
      <c r="M1670" s="76" t="s">
        <v>2019</v>
      </c>
      <c r="N1670" s="76">
        <v>250</v>
      </c>
      <c r="O1670" s="76">
        <v>158</v>
      </c>
      <c r="P1670" s="78">
        <v>0.36799999999999999</v>
      </c>
    </row>
    <row r="1671" spans="7:16" x14ac:dyDescent="0.3">
      <c r="G1671" t="s">
        <v>3276</v>
      </c>
      <c r="H1671" s="76" t="s">
        <v>494</v>
      </c>
      <c r="I1671" s="76" t="s">
        <v>465</v>
      </c>
      <c r="J1671" s="76" t="s">
        <v>366</v>
      </c>
      <c r="K1671" s="76" t="s">
        <v>1774</v>
      </c>
      <c r="L1671" s="76" t="s">
        <v>373</v>
      </c>
      <c r="M1671" s="76" t="s">
        <v>2378</v>
      </c>
      <c r="N1671" s="76">
        <v>700</v>
      </c>
      <c r="O1671" s="76">
        <v>658</v>
      </c>
      <c r="P1671" s="78">
        <v>0.06</v>
      </c>
    </row>
    <row r="1672" spans="7:16" x14ac:dyDescent="0.3">
      <c r="G1672" t="s">
        <v>3277</v>
      </c>
      <c r="H1672" s="76" t="s">
        <v>656</v>
      </c>
      <c r="I1672" s="76" t="s">
        <v>657</v>
      </c>
      <c r="J1672" s="76" t="s">
        <v>360</v>
      </c>
      <c r="K1672" s="77">
        <v>41763</v>
      </c>
      <c r="L1672" s="76" t="s">
        <v>475</v>
      </c>
      <c r="M1672" s="76" t="s">
        <v>659</v>
      </c>
      <c r="N1672" s="76">
        <v>250</v>
      </c>
      <c r="O1672" s="76">
        <v>178</v>
      </c>
      <c r="P1672" s="78">
        <v>0.28799999999999998</v>
      </c>
    </row>
    <row r="1673" spans="7:16" x14ac:dyDescent="0.3">
      <c r="G1673" t="s">
        <v>3278</v>
      </c>
      <c r="H1673" s="76" t="s">
        <v>478</v>
      </c>
      <c r="I1673" s="76" t="s">
        <v>479</v>
      </c>
      <c r="J1673" s="76" t="s">
        <v>384</v>
      </c>
      <c r="K1673" s="76" t="s">
        <v>3279</v>
      </c>
      <c r="L1673" s="76" t="s">
        <v>475</v>
      </c>
      <c r="M1673" s="76" t="s">
        <v>1093</v>
      </c>
      <c r="N1673" s="76">
        <v>250</v>
      </c>
      <c r="O1673" s="76">
        <v>240</v>
      </c>
      <c r="P1673" s="78">
        <v>0.04</v>
      </c>
    </row>
    <row r="1674" spans="7:16" x14ac:dyDescent="0.3">
      <c r="G1674" t="s">
        <v>3280</v>
      </c>
      <c r="H1674" s="76" t="s">
        <v>619</v>
      </c>
      <c r="I1674" s="76" t="s">
        <v>620</v>
      </c>
      <c r="J1674" s="76" t="s">
        <v>372</v>
      </c>
      <c r="K1674" s="77">
        <v>42948</v>
      </c>
      <c r="L1674" s="76" t="s">
        <v>475</v>
      </c>
      <c r="M1674" s="76" t="s">
        <v>621</v>
      </c>
      <c r="N1674" s="76">
        <v>250</v>
      </c>
      <c r="O1674" s="76">
        <v>243</v>
      </c>
      <c r="P1674" s="78">
        <v>2.8000000000000001E-2</v>
      </c>
    </row>
    <row r="1675" spans="7:16" x14ac:dyDescent="0.3">
      <c r="G1675" t="s">
        <v>3281</v>
      </c>
      <c r="H1675" s="76" t="s">
        <v>421</v>
      </c>
      <c r="I1675" s="76" t="s">
        <v>422</v>
      </c>
      <c r="J1675" s="76" t="s">
        <v>384</v>
      </c>
      <c r="K1675" s="77">
        <v>42524</v>
      </c>
      <c r="L1675" s="76" t="s">
        <v>411</v>
      </c>
      <c r="M1675" s="76" t="s">
        <v>425</v>
      </c>
      <c r="N1675" s="76">
        <v>1000</v>
      </c>
      <c r="O1675" s="76">
        <v>810</v>
      </c>
      <c r="P1675" s="78">
        <v>0.19</v>
      </c>
    </row>
    <row r="1676" spans="7:16" x14ac:dyDescent="0.3">
      <c r="G1676" t="s">
        <v>3282</v>
      </c>
      <c r="H1676" s="76" t="s">
        <v>459</v>
      </c>
      <c r="I1676" s="76" t="s">
        <v>422</v>
      </c>
      <c r="J1676" s="76" t="s">
        <v>384</v>
      </c>
      <c r="K1676" s="77">
        <v>42829</v>
      </c>
      <c r="L1676" s="76" t="s">
        <v>411</v>
      </c>
      <c r="M1676" s="76" t="s">
        <v>2712</v>
      </c>
      <c r="N1676" s="76">
        <v>1000</v>
      </c>
      <c r="O1676" s="76">
        <v>700</v>
      </c>
      <c r="P1676" s="78">
        <v>0.3</v>
      </c>
    </row>
    <row r="1677" spans="7:16" x14ac:dyDescent="0.3">
      <c r="G1677" t="s">
        <v>3283</v>
      </c>
      <c r="H1677" s="76" t="s">
        <v>551</v>
      </c>
      <c r="I1677" s="76" t="s">
        <v>552</v>
      </c>
      <c r="J1677" s="76" t="s">
        <v>360</v>
      </c>
      <c r="K1677" s="77">
        <v>42403</v>
      </c>
      <c r="L1677" s="76" t="s">
        <v>391</v>
      </c>
      <c r="M1677" s="76" t="s">
        <v>2255</v>
      </c>
      <c r="N1677" s="76">
        <v>30</v>
      </c>
      <c r="O1677" s="76">
        <v>29</v>
      </c>
      <c r="P1677" s="78">
        <v>3.3300000000000003E-2</v>
      </c>
    </row>
    <row r="1678" spans="7:16" x14ac:dyDescent="0.3">
      <c r="G1678" t="s">
        <v>3284</v>
      </c>
      <c r="H1678" s="76" t="s">
        <v>449</v>
      </c>
      <c r="I1678" s="76" t="s">
        <v>450</v>
      </c>
      <c r="J1678" s="76" t="s">
        <v>360</v>
      </c>
      <c r="K1678" s="77">
        <v>41945</v>
      </c>
      <c r="L1678" s="76" t="s">
        <v>411</v>
      </c>
      <c r="M1678" s="76" t="s">
        <v>452</v>
      </c>
      <c r="N1678" s="76">
        <v>1000</v>
      </c>
      <c r="O1678" s="76">
        <v>910</v>
      </c>
      <c r="P1678" s="78">
        <v>0.09</v>
      </c>
    </row>
    <row r="1679" spans="7:16" x14ac:dyDescent="0.3">
      <c r="G1679" t="s">
        <v>3285</v>
      </c>
      <c r="H1679" s="76" t="s">
        <v>399</v>
      </c>
      <c r="I1679" s="76" t="s">
        <v>400</v>
      </c>
      <c r="J1679" s="76" t="s">
        <v>372</v>
      </c>
      <c r="K1679" s="76" t="s">
        <v>2227</v>
      </c>
      <c r="L1679" s="76" t="s">
        <v>405</v>
      </c>
      <c r="M1679" s="76" t="s">
        <v>1249</v>
      </c>
      <c r="N1679" s="76">
        <v>800</v>
      </c>
      <c r="O1679" s="76">
        <v>448</v>
      </c>
      <c r="P1679" s="78">
        <v>0.44</v>
      </c>
    </row>
    <row r="1680" spans="7:16" x14ac:dyDescent="0.3">
      <c r="G1680" t="s">
        <v>3286</v>
      </c>
      <c r="H1680" s="76" t="s">
        <v>519</v>
      </c>
      <c r="I1680" s="76" t="s">
        <v>520</v>
      </c>
      <c r="J1680" s="76" t="s">
        <v>360</v>
      </c>
      <c r="K1680" s="76" t="s">
        <v>3287</v>
      </c>
      <c r="L1680" s="76" t="s">
        <v>361</v>
      </c>
      <c r="M1680" s="76" t="s">
        <v>859</v>
      </c>
      <c r="N1680" s="76">
        <v>80</v>
      </c>
      <c r="O1680" s="76">
        <v>72</v>
      </c>
      <c r="P1680" s="78">
        <v>0.1</v>
      </c>
    </row>
    <row r="1681" spans="7:16" x14ac:dyDescent="0.3">
      <c r="G1681" t="s">
        <v>3288</v>
      </c>
      <c r="H1681" s="76" t="s">
        <v>485</v>
      </c>
      <c r="I1681" s="76" t="s">
        <v>389</v>
      </c>
      <c r="J1681" s="76" t="s">
        <v>384</v>
      </c>
      <c r="K1681" s="77">
        <v>42046</v>
      </c>
      <c r="L1681" s="76" t="s">
        <v>391</v>
      </c>
      <c r="M1681" s="76" t="s">
        <v>1673</v>
      </c>
      <c r="N1681" s="76">
        <v>30</v>
      </c>
      <c r="O1681" s="76">
        <v>23</v>
      </c>
      <c r="P1681" s="78">
        <v>0.23330000000000001</v>
      </c>
    </row>
    <row r="1682" spans="7:16" x14ac:dyDescent="0.3">
      <c r="G1682" t="s">
        <v>3289</v>
      </c>
      <c r="H1682" s="76" t="s">
        <v>615</v>
      </c>
      <c r="I1682" s="76" t="s">
        <v>400</v>
      </c>
      <c r="J1682" s="76" t="s">
        <v>372</v>
      </c>
      <c r="K1682" s="76" t="s">
        <v>3290</v>
      </c>
      <c r="L1682" s="76" t="s">
        <v>391</v>
      </c>
      <c r="M1682" s="76" t="s">
        <v>2880</v>
      </c>
      <c r="N1682" s="76">
        <v>30</v>
      </c>
      <c r="O1682" s="76">
        <v>30</v>
      </c>
      <c r="P1682" s="78">
        <v>0</v>
      </c>
    </row>
    <row r="1683" spans="7:16" x14ac:dyDescent="0.3">
      <c r="G1683" t="s">
        <v>3291</v>
      </c>
      <c r="H1683" s="76" t="s">
        <v>514</v>
      </c>
      <c r="I1683" s="76" t="s">
        <v>515</v>
      </c>
      <c r="J1683" s="76" t="s">
        <v>360</v>
      </c>
      <c r="K1683" s="76" t="s">
        <v>2918</v>
      </c>
      <c r="L1683" s="76" t="s">
        <v>391</v>
      </c>
      <c r="M1683" s="76" t="s">
        <v>1693</v>
      </c>
      <c r="N1683" s="76">
        <v>30</v>
      </c>
      <c r="O1683" s="76">
        <v>28</v>
      </c>
      <c r="P1683" s="78">
        <v>6.6699999999999995E-2</v>
      </c>
    </row>
    <row r="1684" spans="7:16" x14ac:dyDescent="0.3">
      <c r="G1684" t="s">
        <v>3292</v>
      </c>
      <c r="H1684" s="76" t="s">
        <v>421</v>
      </c>
      <c r="I1684" s="76" t="s">
        <v>422</v>
      </c>
      <c r="J1684" s="76" t="s">
        <v>384</v>
      </c>
      <c r="K1684" s="77">
        <v>41706</v>
      </c>
      <c r="L1684" s="76" t="s">
        <v>475</v>
      </c>
      <c r="M1684" s="76" t="s">
        <v>509</v>
      </c>
      <c r="N1684" s="76">
        <v>250</v>
      </c>
      <c r="O1684" s="76">
        <v>220</v>
      </c>
      <c r="P1684" s="78">
        <v>0.12</v>
      </c>
    </row>
    <row r="1685" spans="7:16" x14ac:dyDescent="0.3">
      <c r="G1685" t="s">
        <v>3293</v>
      </c>
      <c r="H1685" s="76" t="s">
        <v>611</v>
      </c>
      <c r="I1685" s="76" t="s">
        <v>389</v>
      </c>
      <c r="J1685" s="76" t="s">
        <v>384</v>
      </c>
      <c r="K1685" s="76" t="s">
        <v>2938</v>
      </c>
      <c r="L1685" s="76" t="s">
        <v>475</v>
      </c>
      <c r="M1685" s="76" t="s">
        <v>1729</v>
      </c>
      <c r="N1685" s="76">
        <v>250</v>
      </c>
      <c r="O1685" s="76">
        <v>250</v>
      </c>
      <c r="P1685" s="78">
        <v>0</v>
      </c>
    </row>
    <row r="1686" spans="7:16" x14ac:dyDescent="0.3">
      <c r="G1686" t="s">
        <v>3294</v>
      </c>
      <c r="H1686" s="76" t="s">
        <v>399</v>
      </c>
      <c r="I1686" s="76" t="s">
        <v>400</v>
      </c>
      <c r="J1686" s="76" t="s">
        <v>372</v>
      </c>
      <c r="K1686" s="76" t="s">
        <v>3295</v>
      </c>
      <c r="L1686" s="76" t="s">
        <v>424</v>
      </c>
      <c r="M1686" s="76" t="s">
        <v>1249</v>
      </c>
      <c r="N1686" s="76">
        <v>500</v>
      </c>
      <c r="O1686" s="76">
        <v>490</v>
      </c>
      <c r="P1686" s="78">
        <v>0.02</v>
      </c>
    </row>
    <row r="1687" spans="7:16" x14ac:dyDescent="0.3">
      <c r="G1687" t="s">
        <v>3296</v>
      </c>
      <c r="H1687" s="76" t="s">
        <v>524</v>
      </c>
      <c r="I1687" s="76" t="s">
        <v>465</v>
      </c>
      <c r="J1687" s="76" t="s">
        <v>366</v>
      </c>
      <c r="K1687" s="76" t="s">
        <v>1753</v>
      </c>
      <c r="L1687" s="76" t="s">
        <v>373</v>
      </c>
      <c r="M1687" s="76" t="s">
        <v>526</v>
      </c>
      <c r="N1687" s="76">
        <v>700</v>
      </c>
      <c r="O1687" s="76">
        <v>637</v>
      </c>
      <c r="P1687" s="78">
        <v>0.09</v>
      </c>
    </row>
    <row r="1688" spans="7:16" x14ac:dyDescent="0.3">
      <c r="G1688" t="s">
        <v>3297</v>
      </c>
      <c r="H1688" s="76" t="s">
        <v>611</v>
      </c>
      <c r="I1688" s="76" t="s">
        <v>389</v>
      </c>
      <c r="J1688" s="76" t="s">
        <v>384</v>
      </c>
      <c r="K1688" s="76" t="s">
        <v>1470</v>
      </c>
      <c r="L1688" s="76" t="s">
        <v>373</v>
      </c>
      <c r="M1688" s="76" t="s">
        <v>643</v>
      </c>
      <c r="N1688" s="76">
        <v>700</v>
      </c>
      <c r="O1688" s="76">
        <v>679</v>
      </c>
      <c r="P1688" s="78">
        <v>0.03</v>
      </c>
    </row>
    <row r="1689" spans="7:16" x14ac:dyDescent="0.3">
      <c r="G1689" t="s">
        <v>3298</v>
      </c>
      <c r="H1689" s="76" t="s">
        <v>3191</v>
      </c>
      <c r="I1689" s="76" t="s">
        <v>465</v>
      </c>
      <c r="J1689" s="76" t="s">
        <v>366</v>
      </c>
      <c r="K1689" s="76" t="s">
        <v>3250</v>
      </c>
      <c r="L1689" s="76" t="s">
        <v>391</v>
      </c>
      <c r="M1689" s="76" t="s">
        <v>3203</v>
      </c>
      <c r="N1689" s="76">
        <v>30</v>
      </c>
      <c r="O1689" s="76">
        <v>28</v>
      </c>
      <c r="P1689" s="78">
        <v>6.6699999999999995E-2</v>
      </c>
    </row>
    <row r="1690" spans="7:16" x14ac:dyDescent="0.3">
      <c r="G1690" t="s">
        <v>3299</v>
      </c>
      <c r="H1690" s="76" t="s">
        <v>434</v>
      </c>
      <c r="I1690" s="76" t="s">
        <v>435</v>
      </c>
      <c r="J1690" s="76" t="s">
        <v>360</v>
      </c>
      <c r="K1690" s="76" t="s">
        <v>3300</v>
      </c>
      <c r="L1690" s="76" t="s">
        <v>361</v>
      </c>
      <c r="M1690" s="76" t="s">
        <v>436</v>
      </c>
      <c r="N1690" s="76">
        <v>80</v>
      </c>
      <c r="O1690" s="76">
        <v>70</v>
      </c>
      <c r="P1690" s="78">
        <v>0.125</v>
      </c>
    </row>
    <row r="1691" spans="7:16" x14ac:dyDescent="0.3">
      <c r="G1691" t="s">
        <v>3301</v>
      </c>
      <c r="H1691" s="76" t="s">
        <v>560</v>
      </c>
      <c r="I1691" s="76" t="s">
        <v>465</v>
      </c>
      <c r="J1691" s="76" t="s">
        <v>366</v>
      </c>
      <c r="K1691" s="77">
        <v>41792</v>
      </c>
      <c r="L1691" s="76" t="s">
        <v>391</v>
      </c>
      <c r="M1691" s="76" t="s">
        <v>3246</v>
      </c>
      <c r="N1691" s="76">
        <v>30</v>
      </c>
      <c r="O1691" s="76">
        <v>26</v>
      </c>
      <c r="P1691" s="78">
        <v>0.1333</v>
      </c>
    </row>
    <row r="1692" spans="7:16" x14ac:dyDescent="0.3">
      <c r="G1692" t="s">
        <v>3302</v>
      </c>
      <c r="H1692" s="76" t="s">
        <v>611</v>
      </c>
      <c r="I1692" s="76" t="s">
        <v>389</v>
      </c>
      <c r="J1692" s="76" t="s">
        <v>384</v>
      </c>
      <c r="K1692" s="77">
        <v>43378</v>
      </c>
      <c r="L1692" s="76" t="s">
        <v>483</v>
      </c>
      <c r="M1692" s="76" t="s">
        <v>1883</v>
      </c>
      <c r="N1692" s="76">
        <v>50</v>
      </c>
      <c r="O1692" s="76">
        <v>47</v>
      </c>
      <c r="P1692" s="78">
        <v>0.06</v>
      </c>
    </row>
    <row r="1693" spans="7:16" x14ac:dyDescent="0.3">
      <c r="G1693" t="s">
        <v>3303</v>
      </c>
      <c r="H1693" s="76" t="s">
        <v>429</v>
      </c>
      <c r="I1693" s="76" t="s">
        <v>430</v>
      </c>
      <c r="J1693" s="76" t="s">
        <v>384</v>
      </c>
      <c r="K1693" s="76" t="s">
        <v>3304</v>
      </c>
      <c r="L1693" s="76" t="s">
        <v>483</v>
      </c>
      <c r="M1693" s="76" t="s">
        <v>2681</v>
      </c>
      <c r="N1693" s="76">
        <v>50</v>
      </c>
      <c r="O1693" s="76">
        <v>45</v>
      </c>
      <c r="P1693" s="78">
        <v>0.1</v>
      </c>
    </row>
    <row r="1694" spans="7:16" x14ac:dyDescent="0.3">
      <c r="G1694" t="s">
        <v>3305</v>
      </c>
      <c r="H1694" s="76" t="s">
        <v>3191</v>
      </c>
      <c r="I1694" s="76" t="s">
        <v>465</v>
      </c>
      <c r="J1694" s="76" t="s">
        <v>366</v>
      </c>
      <c r="K1694" s="77">
        <v>43107</v>
      </c>
      <c r="L1694" s="76" t="s">
        <v>461</v>
      </c>
      <c r="M1694" s="76" t="s">
        <v>3306</v>
      </c>
      <c r="N1694" s="76">
        <v>70</v>
      </c>
      <c r="O1694" s="76">
        <v>69</v>
      </c>
      <c r="P1694" s="78">
        <v>1.43E-2</v>
      </c>
    </row>
    <row r="1695" spans="7:16" x14ac:dyDescent="0.3">
      <c r="G1695" t="s">
        <v>3307</v>
      </c>
      <c r="H1695" s="76" t="s">
        <v>358</v>
      </c>
      <c r="I1695" s="76" t="s">
        <v>359</v>
      </c>
      <c r="J1695" s="76" t="s">
        <v>360</v>
      </c>
      <c r="K1695" s="77">
        <v>43443</v>
      </c>
      <c r="L1695" s="76" t="s">
        <v>405</v>
      </c>
      <c r="M1695" s="76" t="s">
        <v>706</v>
      </c>
      <c r="N1695" s="76">
        <v>800</v>
      </c>
      <c r="O1695" s="76">
        <v>640</v>
      </c>
      <c r="P1695" s="78">
        <v>0.2</v>
      </c>
    </row>
    <row r="1696" spans="7:16" x14ac:dyDescent="0.3">
      <c r="G1696" t="s">
        <v>3308</v>
      </c>
      <c r="H1696" s="76" t="s">
        <v>469</v>
      </c>
      <c r="I1696" s="76" t="s">
        <v>435</v>
      </c>
      <c r="J1696" s="76" t="s">
        <v>360</v>
      </c>
      <c r="K1696" s="76" t="s">
        <v>831</v>
      </c>
      <c r="L1696" s="76" t="s">
        <v>405</v>
      </c>
      <c r="M1696" s="76" t="s">
        <v>2555</v>
      </c>
      <c r="N1696" s="76">
        <v>800</v>
      </c>
      <c r="O1696" s="76">
        <v>744</v>
      </c>
      <c r="P1696" s="78">
        <v>7.0000000000000007E-2</v>
      </c>
    </row>
    <row r="1697" spans="7:16" x14ac:dyDescent="0.3">
      <c r="G1697" t="s">
        <v>3309</v>
      </c>
      <c r="H1697" s="76" t="s">
        <v>376</v>
      </c>
      <c r="I1697" s="76" t="s">
        <v>377</v>
      </c>
      <c r="J1697" s="76" t="s">
        <v>360</v>
      </c>
      <c r="K1697" s="76" t="s">
        <v>498</v>
      </c>
      <c r="L1697" s="76" t="s">
        <v>361</v>
      </c>
      <c r="M1697" s="76" t="s">
        <v>2625</v>
      </c>
      <c r="N1697" s="76">
        <v>80</v>
      </c>
      <c r="O1697" s="76">
        <v>74</v>
      </c>
      <c r="P1697" s="78">
        <v>7.4999999999999997E-2</v>
      </c>
    </row>
    <row r="1698" spans="7:16" x14ac:dyDescent="0.3">
      <c r="G1698" t="s">
        <v>3310</v>
      </c>
      <c r="H1698" s="76" t="s">
        <v>551</v>
      </c>
      <c r="I1698" s="76" t="s">
        <v>552</v>
      </c>
      <c r="J1698" s="76" t="s">
        <v>360</v>
      </c>
      <c r="K1698" s="77">
        <v>43378</v>
      </c>
      <c r="L1698" s="76" t="s">
        <v>379</v>
      </c>
      <c r="M1698" s="76" t="s">
        <v>553</v>
      </c>
      <c r="N1698" s="76">
        <v>150</v>
      </c>
      <c r="O1698" s="76">
        <v>128</v>
      </c>
      <c r="P1698" s="78">
        <v>0.1467</v>
      </c>
    </row>
    <row r="1699" spans="7:16" x14ac:dyDescent="0.3">
      <c r="G1699" t="s">
        <v>3311</v>
      </c>
      <c r="H1699" s="76" t="s">
        <v>399</v>
      </c>
      <c r="I1699" s="76" t="s">
        <v>400</v>
      </c>
      <c r="J1699" s="76" t="s">
        <v>372</v>
      </c>
      <c r="K1699" s="77">
        <v>43355</v>
      </c>
      <c r="L1699" s="76" t="s">
        <v>483</v>
      </c>
      <c r="M1699" s="76" t="s">
        <v>3312</v>
      </c>
      <c r="N1699" s="76">
        <v>50</v>
      </c>
      <c r="O1699" s="76">
        <v>45</v>
      </c>
      <c r="P1699" s="78">
        <v>0.1</v>
      </c>
    </row>
    <row r="1700" spans="7:16" x14ac:dyDescent="0.3">
      <c r="G1700" t="s">
        <v>3313</v>
      </c>
      <c r="H1700" s="76" t="s">
        <v>473</v>
      </c>
      <c r="I1700" s="76" t="s">
        <v>404</v>
      </c>
      <c r="J1700" s="76" t="s">
        <v>360</v>
      </c>
      <c r="K1700" s="77">
        <v>43135</v>
      </c>
      <c r="L1700" s="76" t="s">
        <v>405</v>
      </c>
      <c r="M1700" s="76" t="s">
        <v>630</v>
      </c>
      <c r="N1700" s="76">
        <v>800</v>
      </c>
      <c r="O1700" s="76">
        <v>664</v>
      </c>
      <c r="P1700" s="78">
        <v>0.17</v>
      </c>
    </row>
    <row r="1701" spans="7:16" x14ac:dyDescent="0.3">
      <c r="G1701" t="s">
        <v>3314</v>
      </c>
      <c r="H1701" s="76" t="s">
        <v>700</v>
      </c>
      <c r="I1701" s="76" t="s">
        <v>465</v>
      </c>
      <c r="J1701" s="76" t="s">
        <v>366</v>
      </c>
      <c r="K1701" s="76" t="s">
        <v>3315</v>
      </c>
      <c r="L1701" s="76" t="s">
        <v>475</v>
      </c>
      <c r="M1701" s="76" t="s">
        <v>874</v>
      </c>
      <c r="N1701" s="76">
        <v>250</v>
      </c>
      <c r="O1701" s="76">
        <v>243</v>
      </c>
      <c r="P1701" s="78">
        <v>2.8000000000000001E-2</v>
      </c>
    </row>
    <row r="1702" spans="7:16" x14ac:dyDescent="0.3">
      <c r="G1702" t="s">
        <v>3316</v>
      </c>
      <c r="H1702" s="76" t="s">
        <v>370</v>
      </c>
      <c r="I1702" s="76" t="s">
        <v>371</v>
      </c>
      <c r="J1702" s="76" t="s">
        <v>372</v>
      </c>
      <c r="K1702" s="76" t="s">
        <v>3317</v>
      </c>
      <c r="L1702" s="76" t="s">
        <v>461</v>
      </c>
      <c r="M1702" s="76" t="s">
        <v>731</v>
      </c>
      <c r="N1702" s="76">
        <v>70</v>
      </c>
      <c r="O1702" s="76">
        <v>69</v>
      </c>
      <c r="P1702" s="78">
        <v>1.43E-2</v>
      </c>
    </row>
    <row r="1703" spans="7:16" x14ac:dyDescent="0.3">
      <c r="G1703" t="s">
        <v>3318</v>
      </c>
      <c r="H1703" s="76" t="s">
        <v>478</v>
      </c>
      <c r="I1703" s="76" t="s">
        <v>479</v>
      </c>
      <c r="J1703" s="76" t="s">
        <v>384</v>
      </c>
      <c r="K1703" s="77">
        <v>41985</v>
      </c>
      <c r="L1703" s="76" t="s">
        <v>396</v>
      </c>
      <c r="M1703" s="76" t="s">
        <v>1757</v>
      </c>
      <c r="N1703" s="76">
        <v>500</v>
      </c>
      <c r="O1703" s="76">
        <v>495</v>
      </c>
      <c r="P1703" s="78">
        <v>0.01</v>
      </c>
    </row>
    <row r="1704" spans="7:16" x14ac:dyDescent="0.3">
      <c r="G1704" t="s">
        <v>3319</v>
      </c>
      <c r="H1704" s="76" t="s">
        <v>489</v>
      </c>
      <c r="I1704" s="76" t="s">
        <v>490</v>
      </c>
      <c r="J1704" s="76" t="s">
        <v>360</v>
      </c>
      <c r="K1704" s="76" t="s">
        <v>3159</v>
      </c>
      <c r="L1704" s="76" t="s">
        <v>405</v>
      </c>
      <c r="M1704" s="76" t="s">
        <v>492</v>
      </c>
      <c r="N1704" s="76">
        <v>800</v>
      </c>
      <c r="O1704" s="76">
        <v>440</v>
      </c>
      <c r="P1704" s="78">
        <v>0.45</v>
      </c>
    </row>
    <row r="1705" spans="7:16" x14ac:dyDescent="0.3">
      <c r="G1705" t="s">
        <v>3320</v>
      </c>
      <c r="H1705" s="76" t="s">
        <v>473</v>
      </c>
      <c r="I1705" s="76" t="s">
        <v>404</v>
      </c>
      <c r="J1705" s="76" t="s">
        <v>360</v>
      </c>
      <c r="K1705" s="77">
        <v>43169</v>
      </c>
      <c r="L1705" s="76" t="s">
        <v>483</v>
      </c>
      <c r="M1705" s="76" t="s">
        <v>1496</v>
      </c>
      <c r="N1705" s="76">
        <v>50</v>
      </c>
      <c r="O1705" s="76">
        <v>44</v>
      </c>
      <c r="P1705" s="78">
        <v>0.12</v>
      </c>
    </row>
    <row r="1706" spans="7:16" x14ac:dyDescent="0.3">
      <c r="G1706" t="s">
        <v>3321</v>
      </c>
      <c r="H1706" s="76" t="s">
        <v>421</v>
      </c>
      <c r="I1706" s="76" t="s">
        <v>422</v>
      </c>
      <c r="J1706" s="76" t="s">
        <v>384</v>
      </c>
      <c r="K1706" s="76" t="s">
        <v>3322</v>
      </c>
      <c r="L1706" s="76" t="s">
        <v>411</v>
      </c>
      <c r="M1706" s="76" t="s">
        <v>3323</v>
      </c>
      <c r="N1706" s="76">
        <v>1000</v>
      </c>
      <c r="O1706" s="76">
        <v>790</v>
      </c>
      <c r="P1706" s="78">
        <v>0.21</v>
      </c>
    </row>
    <row r="1707" spans="7:16" x14ac:dyDescent="0.3">
      <c r="G1707" t="s">
        <v>3324</v>
      </c>
      <c r="H1707" s="76" t="s">
        <v>370</v>
      </c>
      <c r="I1707" s="76" t="s">
        <v>371</v>
      </c>
      <c r="J1707" s="76" t="s">
        <v>372</v>
      </c>
      <c r="K1707" s="77">
        <v>42438</v>
      </c>
      <c r="L1707" s="76" t="s">
        <v>373</v>
      </c>
      <c r="M1707" s="76" t="s">
        <v>958</v>
      </c>
      <c r="N1707" s="76">
        <v>700</v>
      </c>
      <c r="O1707" s="76">
        <v>609</v>
      </c>
      <c r="P1707" s="78">
        <v>0.13</v>
      </c>
    </row>
    <row r="1708" spans="7:16" x14ac:dyDescent="0.3">
      <c r="G1708" t="s">
        <v>3325</v>
      </c>
      <c r="H1708" s="76" t="s">
        <v>473</v>
      </c>
      <c r="I1708" s="76" t="s">
        <v>404</v>
      </c>
      <c r="J1708" s="76" t="s">
        <v>360</v>
      </c>
      <c r="K1708" s="76" t="s">
        <v>2384</v>
      </c>
      <c r="L1708" s="76" t="s">
        <v>396</v>
      </c>
      <c r="M1708" s="76" t="s">
        <v>1742</v>
      </c>
      <c r="N1708" s="76">
        <v>500</v>
      </c>
      <c r="O1708" s="76">
        <v>425</v>
      </c>
      <c r="P1708" s="78">
        <v>0.15</v>
      </c>
    </row>
    <row r="1709" spans="7:16" x14ac:dyDescent="0.3">
      <c r="G1709" t="s">
        <v>3326</v>
      </c>
      <c r="H1709" s="76" t="s">
        <v>489</v>
      </c>
      <c r="I1709" s="76" t="s">
        <v>490</v>
      </c>
      <c r="J1709" s="76" t="s">
        <v>360</v>
      </c>
      <c r="K1709" s="76" t="s">
        <v>1996</v>
      </c>
      <c r="L1709" s="76" t="s">
        <v>461</v>
      </c>
      <c r="M1709" s="76" t="s">
        <v>1539</v>
      </c>
      <c r="N1709" s="76">
        <v>70</v>
      </c>
      <c r="O1709" s="76">
        <v>45</v>
      </c>
      <c r="P1709" s="78">
        <v>0.35709999999999997</v>
      </c>
    </row>
    <row r="1710" spans="7:16" x14ac:dyDescent="0.3">
      <c r="G1710" t="s">
        <v>3327</v>
      </c>
      <c r="H1710" s="76" t="s">
        <v>547</v>
      </c>
      <c r="I1710" s="76" t="s">
        <v>548</v>
      </c>
      <c r="J1710" s="76" t="s">
        <v>360</v>
      </c>
      <c r="K1710" s="76" t="s">
        <v>3328</v>
      </c>
      <c r="L1710" s="76" t="s">
        <v>391</v>
      </c>
      <c r="M1710" s="76" t="s">
        <v>861</v>
      </c>
      <c r="N1710" s="76">
        <v>30</v>
      </c>
      <c r="O1710" s="76">
        <v>25</v>
      </c>
      <c r="P1710" s="78">
        <v>0.16669999999999999</v>
      </c>
    </row>
    <row r="1711" spans="7:16" x14ac:dyDescent="0.3">
      <c r="G1711" t="s">
        <v>3329</v>
      </c>
      <c r="H1711" s="76" t="s">
        <v>547</v>
      </c>
      <c r="I1711" s="76" t="s">
        <v>548</v>
      </c>
      <c r="J1711" s="76" t="s">
        <v>360</v>
      </c>
      <c r="K1711" s="77">
        <v>42096</v>
      </c>
      <c r="L1711" s="76" t="s">
        <v>373</v>
      </c>
      <c r="M1711" s="76" t="s">
        <v>549</v>
      </c>
      <c r="N1711" s="76">
        <v>700</v>
      </c>
      <c r="O1711" s="76">
        <v>476</v>
      </c>
      <c r="P1711" s="78">
        <v>0.32</v>
      </c>
    </row>
    <row r="1712" spans="7:16" x14ac:dyDescent="0.3">
      <c r="G1712" t="s">
        <v>3330</v>
      </c>
      <c r="H1712" s="76" t="s">
        <v>399</v>
      </c>
      <c r="I1712" s="76" t="s">
        <v>400</v>
      </c>
      <c r="J1712" s="76" t="s">
        <v>372</v>
      </c>
      <c r="K1712" s="76" t="s">
        <v>3331</v>
      </c>
      <c r="L1712" s="76" t="s">
        <v>483</v>
      </c>
      <c r="M1712" s="76" t="s">
        <v>401</v>
      </c>
      <c r="N1712" s="76">
        <v>50</v>
      </c>
      <c r="O1712" s="76">
        <v>43</v>
      </c>
      <c r="P1712" s="78">
        <v>0.14000000000000001</v>
      </c>
    </row>
    <row r="1713" spans="7:16" x14ac:dyDescent="0.3">
      <c r="G1713" t="s">
        <v>3332</v>
      </c>
      <c r="H1713" s="76" t="s">
        <v>473</v>
      </c>
      <c r="I1713" s="76" t="s">
        <v>404</v>
      </c>
      <c r="J1713" s="76" t="s">
        <v>360</v>
      </c>
      <c r="K1713" s="76" t="s">
        <v>3333</v>
      </c>
      <c r="L1713" s="76" t="s">
        <v>411</v>
      </c>
      <c r="M1713" s="76" t="s">
        <v>1942</v>
      </c>
      <c r="N1713" s="76">
        <v>1000</v>
      </c>
      <c r="O1713" s="76">
        <v>930</v>
      </c>
      <c r="P1713" s="78">
        <v>7.0000000000000007E-2</v>
      </c>
    </row>
    <row r="1714" spans="7:16" x14ac:dyDescent="0.3">
      <c r="G1714" t="s">
        <v>3334</v>
      </c>
      <c r="H1714" s="76" t="s">
        <v>399</v>
      </c>
      <c r="I1714" s="76" t="s">
        <v>400</v>
      </c>
      <c r="J1714" s="76" t="s">
        <v>372</v>
      </c>
      <c r="K1714" s="76" t="s">
        <v>3335</v>
      </c>
      <c r="L1714" s="76" t="s">
        <v>385</v>
      </c>
      <c r="M1714" s="76" t="s">
        <v>419</v>
      </c>
      <c r="N1714" s="76">
        <v>50</v>
      </c>
      <c r="O1714" s="76">
        <v>43</v>
      </c>
      <c r="P1714" s="78">
        <v>0.14000000000000001</v>
      </c>
    </row>
    <row r="1715" spans="7:16" x14ac:dyDescent="0.3">
      <c r="G1715" t="s">
        <v>3336</v>
      </c>
      <c r="H1715" s="76" t="s">
        <v>566</v>
      </c>
      <c r="I1715" s="76" t="s">
        <v>567</v>
      </c>
      <c r="J1715" s="76" t="s">
        <v>360</v>
      </c>
      <c r="K1715" s="77">
        <v>42223</v>
      </c>
      <c r="L1715" s="76" t="s">
        <v>385</v>
      </c>
      <c r="M1715" s="76" t="s">
        <v>1302</v>
      </c>
      <c r="N1715" s="76">
        <v>50</v>
      </c>
      <c r="O1715" s="76">
        <v>34</v>
      </c>
      <c r="P1715" s="78">
        <v>0.32</v>
      </c>
    </row>
    <row r="1716" spans="7:16" x14ac:dyDescent="0.3">
      <c r="G1716" t="s">
        <v>3337</v>
      </c>
      <c r="H1716" s="76" t="s">
        <v>524</v>
      </c>
      <c r="I1716" s="76" t="s">
        <v>465</v>
      </c>
      <c r="J1716" s="76" t="s">
        <v>366</v>
      </c>
      <c r="K1716" s="77">
        <v>41826</v>
      </c>
      <c r="L1716" s="76" t="s">
        <v>385</v>
      </c>
      <c r="M1716" s="76" t="s">
        <v>969</v>
      </c>
      <c r="N1716" s="76">
        <v>50</v>
      </c>
      <c r="O1716" s="76">
        <v>46</v>
      </c>
      <c r="P1716" s="78">
        <v>0.08</v>
      </c>
    </row>
    <row r="1717" spans="7:16" x14ac:dyDescent="0.3">
      <c r="G1717" t="s">
        <v>3338</v>
      </c>
      <c r="H1717" s="76" t="s">
        <v>370</v>
      </c>
      <c r="I1717" s="76" t="s">
        <v>371</v>
      </c>
      <c r="J1717" s="76" t="s">
        <v>372</v>
      </c>
      <c r="K1717" s="76" t="s">
        <v>2442</v>
      </c>
      <c r="L1717" s="76" t="s">
        <v>396</v>
      </c>
      <c r="M1717" s="76" t="s">
        <v>374</v>
      </c>
      <c r="N1717" s="76">
        <v>500</v>
      </c>
      <c r="O1717" s="76">
        <v>355</v>
      </c>
      <c r="P1717" s="78">
        <v>0.28999999999999998</v>
      </c>
    </row>
    <row r="1718" spans="7:16" x14ac:dyDescent="0.3">
      <c r="G1718" t="s">
        <v>3339</v>
      </c>
      <c r="H1718" s="76" t="s">
        <v>376</v>
      </c>
      <c r="I1718" s="76" t="s">
        <v>377</v>
      </c>
      <c r="J1718" s="76" t="s">
        <v>360</v>
      </c>
      <c r="K1718" s="77">
        <v>42288</v>
      </c>
      <c r="L1718" s="76" t="s">
        <v>385</v>
      </c>
      <c r="M1718" s="76" t="s">
        <v>906</v>
      </c>
      <c r="N1718" s="76">
        <v>50</v>
      </c>
      <c r="O1718" s="76">
        <v>40</v>
      </c>
      <c r="P1718" s="78">
        <v>0.2</v>
      </c>
    </row>
    <row r="1719" spans="7:16" x14ac:dyDescent="0.3">
      <c r="G1719" t="s">
        <v>3340</v>
      </c>
      <c r="H1719" s="76" t="s">
        <v>409</v>
      </c>
      <c r="I1719" s="76" t="s">
        <v>410</v>
      </c>
      <c r="J1719" s="76" t="s">
        <v>360</v>
      </c>
      <c r="K1719" s="76" t="s">
        <v>390</v>
      </c>
      <c r="L1719" s="76" t="s">
        <v>396</v>
      </c>
      <c r="M1719" s="76" t="s">
        <v>412</v>
      </c>
      <c r="N1719" s="76">
        <v>500</v>
      </c>
      <c r="O1719" s="76">
        <v>450</v>
      </c>
      <c r="P1719" s="78">
        <v>0.1</v>
      </c>
    </row>
    <row r="1720" spans="7:16" x14ac:dyDescent="0.3">
      <c r="G1720" t="s">
        <v>3341</v>
      </c>
      <c r="H1720" s="76" t="s">
        <v>3257</v>
      </c>
      <c r="I1720" s="76" t="s">
        <v>465</v>
      </c>
      <c r="J1720" s="76" t="s">
        <v>366</v>
      </c>
      <c r="K1720" s="76" t="s">
        <v>2991</v>
      </c>
      <c r="L1720" s="76" t="s">
        <v>483</v>
      </c>
      <c r="M1720" s="76" t="s">
        <v>3342</v>
      </c>
      <c r="N1720" s="76">
        <v>50</v>
      </c>
      <c r="O1720" s="76">
        <v>47</v>
      </c>
      <c r="P1720" s="78">
        <v>0.06</v>
      </c>
    </row>
    <row r="1721" spans="7:16" x14ac:dyDescent="0.3">
      <c r="G1721" t="s">
        <v>3343</v>
      </c>
      <c r="H1721" s="76" t="s">
        <v>438</v>
      </c>
      <c r="I1721" s="76" t="s">
        <v>439</v>
      </c>
      <c r="J1721" s="76" t="s">
        <v>360</v>
      </c>
      <c r="K1721" s="76" t="s">
        <v>2334</v>
      </c>
      <c r="L1721" s="76" t="s">
        <v>405</v>
      </c>
      <c r="M1721" s="76" t="s">
        <v>769</v>
      </c>
      <c r="N1721" s="76">
        <v>800</v>
      </c>
      <c r="O1721" s="76">
        <v>456</v>
      </c>
      <c r="P1721" s="78">
        <v>0.43</v>
      </c>
    </row>
    <row r="1722" spans="7:16" x14ac:dyDescent="0.3">
      <c r="G1722" t="s">
        <v>3344</v>
      </c>
      <c r="H1722" s="76" t="s">
        <v>454</v>
      </c>
      <c r="I1722" s="76" t="s">
        <v>455</v>
      </c>
      <c r="J1722" s="76" t="s">
        <v>360</v>
      </c>
      <c r="K1722" s="76" t="s">
        <v>2152</v>
      </c>
      <c r="L1722" s="76" t="s">
        <v>391</v>
      </c>
      <c r="M1722" s="76" t="s">
        <v>1529</v>
      </c>
      <c r="N1722" s="76">
        <v>30</v>
      </c>
      <c r="O1722" s="76">
        <v>28</v>
      </c>
      <c r="P1722" s="78">
        <v>6.6699999999999995E-2</v>
      </c>
    </row>
    <row r="1723" spans="7:16" x14ac:dyDescent="0.3">
      <c r="G1723" t="s">
        <v>3345</v>
      </c>
      <c r="H1723" s="76" t="s">
        <v>528</v>
      </c>
      <c r="I1723" s="76" t="s">
        <v>465</v>
      </c>
      <c r="J1723" s="76" t="s">
        <v>366</v>
      </c>
      <c r="K1723" s="76" t="s">
        <v>3346</v>
      </c>
      <c r="L1723" s="76" t="s">
        <v>391</v>
      </c>
      <c r="M1723" s="76" t="s">
        <v>1077</v>
      </c>
      <c r="N1723" s="76">
        <v>30</v>
      </c>
      <c r="O1723" s="76">
        <v>26</v>
      </c>
      <c r="P1723" s="78">
        <v>0.1333</v>
      </c>
    </row>
    <row r="1724" spans="7:16" x14ac:dyDescent="0.3">
      <c r="G1724" t="s">
        <v>3347</v>
      </c>
      <c r="H1724" s="76" t="s">
        <v>638</v>
      </c>
      <c r="I1724" s="76" t="s">
        <v>639</v>
      </c>
      <c r="J1724" s="76" t="s">
        <v>360</v>
      </c>
      <c r="K1724" s="77">
        <v>41764</v>
      </c>
      <c r="L1724" s="76" t="s">
        <v>361</v>
      </c>
      <c r="M1724" s="76" t="s">
        <v>1148</v>
      </c>
      <c r="N1724" s="76">
        <v>80</v>
      </c>
      <c r="O1724" s="76">
        <v>56</v>
      </c>
      <c r="P1724" s="78">
        <v>0.3</v>
      </c>
    </row>
    <row r="1725" spans="7:16" x14ac:dyDescent="0.3">
      <c r="G1725" t="s">
        <v>3348</v>
      </c>
      <c r="H1725" s="76" t="s">
        <v>403</v>
      </c>
      <c r="I1725" s="76" t="s">
        <v>404</v>
      </c>
      <c r="J1725" s="76" t="s">
        <v>360</v>
      </c>
      <c r="K1725" s="77">
        <v>43018</v>
      </c>
      <c r="L1725" s="76" t="s">
        <v>424</v>
      </c>
      <c r="M1725" s="76" t="s">
        <v>406</v>
      </c>
      <c r="N1725" s="76">
        <v>500</v>
      </c>
      <c r="O1725" s="76">
        <v>490</v>
      </c>
      <c r="P1725" s="78">
        <v>0.02</v>
      </c>
    </row>
    <row r="1726" spans="7:16" x14ac:dyDescent="0.3">
      <c r="G1726" t="s">
        <v>3349</v>
      </c>
      <c r="H1726" s="76" t="s">
        <v>524</v>
      </c>
      <c r="I1726" s="76" t="s">
        <v>465</v>
      </c>
      <c r="J1726" s="76" t="s">
        <v>366</v>
      </c>
      <c r="K1726" s="76" t="s">
        <v>1036</v>
      </c>
      <c r="L1726" s="76" t="s">
        <v>424</v>
      </c>
      <c r="M1726" s="76" t="s">
        <v>2198</v>
      </c>
      <c r="N1726" s="76">
        <v>500</v>
      </c>
      <c r="O1726" s="76">
        <v>490</v>
      </c>
      <c r="P1726" s="78">
        <v>0.02</v>
      </c>
    </row>
    <row r="1727" spans="7:16" x14ac:dyDescent="0.3">
      <c r="G1727" t="s">
        <v>3350</v>
      </c>
      <c r="H1727" s="76" t="s">
        <v>497</v>
      </c>
      <c r="I1727" s="76" t="s">
        <v>445</v>
      </c>
      <c r="J1727" s="76" t="s">
        <v>384</v>
      </c>
      <c r="K1727" s="76" t="s">
        <v>2169</v>
      </c>
      <c r="L1727" s="76" t="s">
        <v>461</v>
      </c>
      <c r="M1727" s="76" t="s">
        <v>1392</v>
      </c>
      <c r="N1727" s="76">
        <v>70</v>
      </c>
      <c r="O1727" s="76">
        <v>61</v>
      </c>
      <c r="P1727" s="78">
        <v>0.12859999999999999</v>
      </c>
    </row>
    <row r="1728" spans="7:16" x14ac:dyDescent="0.3">
      <c r="G1728" t="s">
        <v>3351</v>
      </c>
      <c r="H1728" s="76" t="s">
        <v>3165</v>
      </c>
      <c r="I1728" s="76" t="s">
        <v>365</v>
      </c>
      <c r="J1728" s="76" t="s">
        <v>366</v>
      </c>
      <c r="K1728" s="77">
        <v>42013</v>
      </c>
      <c r="L1728" s="76" t="s">
        <v>475</v>
      </c>
      <c r="M1728" s="76" t="s">
        <v>3251</v>
      </c>
      <c r="N1728" s="76">
        <v>250</v>
      </c>
      <c r="O1728" s="76">
        <v>220</v>
      </c>
      <c r="P1728" s="78">
        <v>0.12</v>
      </c>
    </row>
    <row r="1729" spans="7:16" x14ac:dyDescent="0.3">
      <c r="G1729" t="s">
        <v>3352</v>
      </c>
      <c r="H1729" s="76" t="s">
        <v>891</v>
      </c>
      <c r="I1729" s="76" t="s">
        <v>892</v>
      </c>
      <c r="J1729" s="76" t="s">
        <v>372</v>
      </c>
      <c r="K1729" s="76" t="s">
        <v>2675</v>
      </c>
      <c r="L1729" s="76" t="s">
        <v>461</v>
      </c>
      <c r="M1729" s="76" t="s">
        <v>1459</v>
      </c>
      <c r="N1729" s="76">
        <v>70</v>
      </c>
      <c r="O1729" s="76">
        <v>67</v>
      </c>
      <c r="P1729" s="78">
        <v>4.2900000000000001E-2</v>
      </c>
    </row>
    <row r="1730" spans="7:16" x14ac:dyDescent="0.3">
      <c r="G1730" t="s">
        <v>3353</v>
      </c>
      <c r="H1730" s="76" t="s">
        <v>528</v>
      </c>
      <c r="I1730" s="76" t="s">
        <v>465</v>
      </c>
      <c r="J1730" s="76" t="s">
        <v>366</v>
      </c>
      <c r="K1730" s="77">
        <v>42861</v>
      </c>
      <c r="L1730" s="76" t="s">
        <v>424</v>
      </c>
      <c r="M1730" s="76" t="s">
        <v>2789</v>
      </c>
      <c r="N1730" s="76">
        <v>500</v>
      </c>
      <c r="O1730" s="76">
        <v>495</v>
      </c>
      <c r="P1730" s="78">
        <v>0.01</v>
      </c>
    </row>
    <row r="1731" spans="7:16" x14ac:dyDescent="0.3">
      <c r="G1731" t="s">
        <v>3354</v>
      </c>
      <c r="H1731" s="76" t="s">
        <v>388</v>
      </c>
      <c r="I1731" s="76" t="s">
        <v>389</v>
      </c>
      <c r="J1731" s="76" t="s">
        <v>384</v>
      </c>
      <c r="K1731" s="77">
        <v>41916</v>
      </c>
      <c r="L1731" s="76" t="s">
        <v>396</v>
      </c>
      <c r="M1731" s="76" t="s">
        <v>2576</v>
      </c>
      <c r="N1731" s="76">
        <v>500</v>
      </c>
      <c r="O1731" s="76">
        <v>190</v>
      </c>
      <c r="P1731" s="78">
        <v>0.62</v>
      </c>
    </row>
    <row r="1732" spans="7:16" x14ac:dyDescent="0.3">
      <c r="G1732" t="s">
        <v>3355</v>
      </c>
      <c r="H1732" s="76" t="s">
        <v>421</v>
      </c>
      <c r="I1732" s="76" t="s">
        <v>422</v>
      </c>
      <c r="J1732" s="76" t="s">
        <v>384</v>
      </c>
      <c r="K1732" s="77">
        <v>42465</v>
      </c>
      <c r="L1732" s="76" t="s">
        <v>373</v>
      </c>
      <c r="M1732" s="76" t="s">
        <v>2202</v>
      </c>
      <c r="N1732" s="76">
        <v>700</v>
      </c>
      <c r="O1732" s="76">
        <v>686</v>
      </c>
      <c r="P1732" s="78">
        <v>0.02</v>
      </c>
    </row>
    <row r="1733" spans="7:16" x14ac:dyDescent="0.3">
      <c r="G1733" t="s">
        <v>3356</v>
      </c>
      <c r="H1733" s="76" t="s">
        <v>403</v>
      </c>
      <c r="I1733" s="76" t="s">
        <v>404</v>
      </c>
      <c r="J1733" s="76" t="s">
        <v>360</v>
      </c>
      <c r="K1733" s="77">
        <v>42738</v>
      </c>
      <c r="L1733" s="76" t="s">
        <v>475</v>
      </c>
      <c r="M1733" s="76" t="s">
        <v>851</v>
      </c>
      <c r="N1733" s="76">
        <v>250</v>
      </c>
      <c r="O1733" s="76">
        <v>240</v>
      </c>
      <c r="P1733" s="78">
        <v>0.04</v>
      </c>
    </row>
    <row r="1734" spans="7:16" x14ac:dyDescent="0.3">
      <c r="G1734" t="s">
        <v>3357</v>
      </c>
      <c r="H1734" s="76" t="s">
        <v>615</v>
      </c>
      <c r="I1734" s="76" t="s">
        <v>400</v>
      </c>
      <c r="J1734" s="76" t="s">
        <v>372</v>
      </c>
      <c r="K1734" s="76" t="s">
        <v>1224</v>
      </c>
      <c r="L1734" s="76" t="s">
        <v>411</v>
      </c>
      <c r="M1734" s="76" t="s">
        <v>1699</v>
      </c>
      <c r="N1734" s="76">
        <v>1000</v>
      </c>
      <c r="O1734" s="76">
        <v>600</v>
      </c>
      <c r="P1734" s="78">
        <v>0.4</v>
      </c>
    </row>
    <row r="1735" spans="7:16" x14ac:dyDescent="0.3">
      <c r="G1735" t="s">
        <v>3358</v>
      </c>
      <c r="H1735" s="76" t="s">
        <v>370</v>
      </c>
      <c r="I1735" s="76" t="s">
        <v>371</v>
      </c>
      <c r="J1735" s="76" t="s">
        <v>372</v>
      </c>
      <c r="K1735" s="77">
        <v>41643</v>
      </c>
      <c r="L1735" s="76" t="s">
        <v>385</v>
      </c>
      <c r="M1735" s="76" t="s">
        <v>512</v>
      </c>
      <c r="N1735" s="76">
        <v>50</v>
      </c>
      <c r="O1735" s="76">
        <v>41</v>
      </c>
      <c r="P1735" s="78">
        <v>0.18</v>
      </c>
    </row>
    <row r="1736" spans="7:16" x14ac:dyDescent="0.3">
      <c r="G1736" t="s">
        <v>3359</v>
      </c>
      <c r="H1736" s="76" t="s">
        <v>619</v>
      </c>
      <c r="I1736" s="76" t="s">
        <v>620</v>
      </c>
      <c r="J1736" s="76" t="s">
        <v>372</v>
      </c>
      <c r="K1736" s="76" t="s">
        <v>3222</v>
      </c>
      <c r="L1736" s="76" t="s">
        <v>475</v>
      </c>
      <c r="M1736" s="76" t="s">
        <v>896</v>
      </c>
      <c r="N1736" s="76">
        <v>250</v>
      </c>
      <c r="O1736" s="76">
        <v>230</v>
      </c>
      <c r="P1736" s="78">
        <v>0.08</v>
      </c>
    </row>
    <row r="1737" spans="7:16" x14ac:dyDescent="0.3">
      <c r="G1737" t="s">
        <v>3360</v>
      </c>
      <c r="H1737" s="76" t="s">
        <v>469</v>
      </c>
      <c r="I1737" s="76" t="s">
        <v>435</v>
      </c>
      <c r="J1737" s="76" t="s">
        <v>360</v>
      </c>
      <c r="K1737" s="76" t="s">
        <v>850</v>
      </c>
      <c r="L1737" s="76" t="s">
        <v>396</v>
      </c>
      <c r="M1737" s="76" t="s">
        <v>1128</v>
      </c>
      <c r="N1737" s="76">
        <v>500</v>
      </c>
      <c r="O1737" s="76">
        <v>380</v>
      </c>
      <c r="P1737" s="78">
        <v>0.24</v>
      </c>
    </row>
    <row r="1738" spans="7:16" x14ac:dyDescent="0.3">
      <c r="G1738" t="s">
        <v>3361</v>
      </c>
      <c r="H1738" s="76" t="s">
        <v>3257</v>
      </c>
      <c r="I1738" s="76" t="s">
        <v>465</v>
      </c>
      <c r="J1738" s="76" t="s">
        <v>366</v>
      </c>
      <c r="K1738" s="76" t="s">
        <v>2489</v>
      </c>
      <c r="L1738" s="76" t="s">
        <v>483</v>
      </c>
      <c r="M1738" s="76" t="s">
        <v>3362</v>
      </c>
      <c r="N1738" s="76">
        <v>50</v>
      </c>
      <c r="O1738" s="76">
        <v>49</v>
      </c>
      <c r="P1738" s="78">
        <v>0.02</v>
      </c>
    </row>
    <row r="1739" spans="7:16" x14ac:dyDescent="0.3">
      <c r="G1739" t="s">
        <v>3363</v>
      </c>
      <c r="H1739" s="76" t="s">
        <v>459</v>
      </c>
      <c r="I1739" s="76" t="s">
        <v>422</v>
      </c>
      <c r="J1739" s="76" t="s">
        <v>384</v>
      </c>
      <c r="K1739" s="76" t="s">
        <v>3364</v>
      </c>
      <c r="L1739" s="76" t="s">
        <v>391</v>
      </c>
      <c r="M1739" s="76" t="s">
        <v>1120</v>
      </c>
      <c r="N1739" s="76">
        <v>30</v>
      </c>
      <c r="O1739" s="76">
        <v>26</v>
      </c>
      <c r="P1739" s="78">
        <v>0.1333</v>
      </c>
    </row>
    <row r="1740" spans="7:16" x14ac:dyDescent="0.3">
      <c r="G1740" t="s">
        <v>3365</v>
      </c>
      <c r="H1740" s="76" t="s">
        <v>524</v>
      </c>
      <c r="I1740" s="76" t="s">
        <v>465</v>
      </c>
      <c r="J1740" s="76" t="s">
        <v>366</v>
      </c>
      <c r="K1740" s="77">
        <v>42926</v>
      </c>
      <c r="L1740" s="76" t="s">
        <v>379</v>
      </c>
      <c r="M1740" s="76" t="s">
        <v>1891</v>
      </c>
      <c r="N1740" s="76">
        <v>150</v>
      </c>
      <c r="O1740" s="76">
        <v>141</v>
      </c>
      <c r="P1740" s="78">
        <v>0.06</v>
      </c>
    </row>
    <row r="1741" spans="7:16" x14ac:dyDescent="0.3">
      <c r="G1741" t="s">
        <v>3366</v>
      </c>
      <c r="H1741" s="76" t="s">
        <v>656</v>
      </c>
      <c r="I1741" s="76" t="s">
        <v>657</v>
      </c>
      <c r="J1741" s="76" t="s">
        <v>360</v>
      </c>
      <c r="K1741" s="77">
        <v>42805</v>
      </c>
      <c r="L1741" s="76" t="s">
        <v>411</v>
      </c>
      <c r="M1741" s="76" t="s">
        <v>1389</v>
      </c>
      <c r="N1741" s="76">
        <v>1000</v>
      </c>
      <c r="O1741" s="76">
        <v>960</v>
      </c>
      <c r="P1741" s="78">
        <v>0.04</v>
      </c>
    </row>
    <row r="1742" spans="7:16" x14ac:dyDescent="0.3">
      <c r="G1742" t="s">
        <v>3367</v>
      </c>
      <c r="H1742" s="76" t="s">
        <v>429</v>
      </c>
      <c r="I1742" s="76" t="s">
        <v>430</v>
      </c>
      <c r="J1742" s="76" t="s">
        <v>384</v>
      </c>
      <c r="K1742" s="77">
        <v>42463</v>
      </c>
      <c r="L1742" s="76" t="s">
        <v>483</v>
      </c>
      <c r="M1742" s="76" t="s">
        <v>3368</v>
      </c>
      <c r="N1742" s="76">
        <v>50</v>
      </c>
      <c r="O1742" s="76">
        <v>48</v>
      </c>
      <c r="P1742" s="78">
        <v>0.04</v>
      </c>
    </row>
    <row r="1743" spans="7:16" x14ac:dyDescent="0.3">
      <c r="G1743" t="s">
        <v>3369</v>
      </c>
      <c r="H1743" s="76" t="s">
        <v>611</v>
      </c>
      <c r="I1743" s="76" t="s">
        <v>389</v>
      </c>
      <c r="J1743" s="76" t="s">
        <v>384</v>
      </c>
      <c r="K1743" s="77">
        <v>41761</v>
      </c>
      <c r="L1743" s="76" t="s">
        <v>391</v>
      </c>
      <c r="M1743" s="76" t="s">
        <v>3370</v>
      </c>
      <c r="N1743" s="76">
        <v>30</v>
      </c>
      <c r="O1743" s="76">
        <v>26</v>
      </c>
      <c r="P1743" s="78">
        <v>0.1333</v>
      </c>
    </row>
    <row r="1744" spans="7:16" x14ac:dyDescent="0.3">
      <c r="G1744" t="s">
        <v>3371</v>
      </c>
      <c r="H1744" s="76" t="s">
        <v>464</v>
      </c>
      <c r="I1744" s="76" t="s">
        <v>465</v>
      </c>
      <c r="J1744" s="76" t="s">
        <v>366</v>
      </c>
      <c r="K1744" s="77">
        <v>42616</v>
      </c>
      <c r="L1744" s="76" t="s">
        <v>379</v>
      </c>
      <c r="M1744" s="76" t="s">
        <v>786</v>
      </c>
      <c r="N1744" s="76">
        <v>150</v>
      </c>
      <c r="O1744" s="76">
        <v>128</v>
      </c>
      <c r="P1744" s="78">
        <v>0.1467</v>
      </c>
    </row>
    <row r="1745" spans="7:16" x14ac:dyDescent="0.3">
      <c r="G1745" t="s">
        <v>3372</v>
      </c>
      <c r="H1745" s="76" t="s">
        <v>494</v>
      </c>
      <c r="I1745" s="76" t="s">
        <v>465</v>
      </c>
      <c r="J1745" s="76" t="s">
        <v>366</v>
      </c>
      <c r="K1745" s="76" t="s">
        <v>645</v>
      </c>
      <c r="L1745" s="76" t="s">
        <v>391</v>
      </c>
      <c r="M1745" s="76" t="s">
        <v>1373</v>
      </c>
      <c r="N1745" s="76">
        <v>30</v>
      </c>
      <c r="O1745" s="76">
        <v>30</v>
      </c>
      <c r="P1745" s="78">
        <v>0</v>
      </c>
    </row>
    <row r="1746" spans="7:16" x14ac:dyDescent="0.3">
      <c r="G1746" t="s">
        <v>3373</v>
      </c>
      <c r="H1746" s="76" t="s">
        <v>376</v>
      </c>
      <c r="I1746" s="76" t="s">
        <v>377</v>
      </c>
      <c r="J1746" s="76" t="s">
        <v>360</v>
      </c>
      <c r="K1746" s="76" t="s">
        <v>2132</v>
      </c>
      <c r="L1746" s="76" t="s">
        <v>483</v>
      </c>
      <c r="M1746" s="76" t="s">
        <v>649</v>
      </c>
      <c r="N1746" s="76">
        <v>50</v>
      </c>
      <c r="O1746" s="76">
        <v>45</v>
      </c>
      <c r="P1746" s="78">
        <v>0.1</v>
      </c>
    </row>
    <row r="1747" spans="7:16" x14ac:dyDescent="0.3">
      <c r="G1747" t="s">
        <v>3374</v>
      </c>
      <c r="H1747" s="76" t="s">
        <v>421</v>
      </c>
      <c r="I1747" s="76" t="s">
        <v>422</v>
      </c>
      <c r="J1747" s="76" t="s">
        <v>384</v>
      </c>
      <c r="K1747" s="76" t="s">
        <v>3375</v>
      </c>
      <c r="L1747" s="76" t="s">
        <v>396</v>
      </c>
      <c r="M1747" s="76" t="s">
        <v>1211</v>
      </c>
      <c r="N1747" s="76">
        <v>500</v>
      </c>
      <c r="O1747" s="76">
        <v>445</v>
      </c>
      <c r="P1747" s="78">
        <v>0.11</v>
      </c>
    </row>
    <row r="1748" spans="7:16" x14ac:dyDescent="0.3">
      <c r="G1748" t="s">
        <v>3376</v>
      </c>
      <c r="H1748" s="76" t="s">
        <v>454</v>
      </c>
      <c r="I1748" s="76" t="s">
        <v>455</v>
      </c>
      <c r="J1748" s="76" t="s">
        <v>360</v>
      </c>
      <c r="K1748" s="77">
        <v>42736</v>
      </c>
      <c r="L1748" s="76" t="s">
        <v>475</v>
      </c>
      <c r="M1748" s="76" t="s">
        <v>2725</v>
      </c>
      <c r="N1748" s="76">
        <v>250</v>
      </c>
      <c r="O1748" s="76">
        <v>228</v>
      </c>
      <c r="P1748" s="78">
        <v>8.7999999999999995E-2</v>
      </c>
    </row>
    <row r="1749" spans="7:16" x14ac:dyDescent="0.3">
      <c r="G1749" t="s">
        <v>3377</v>
      </c>
      <c r="H1749" s="76" t="s">
        <v>675</v>
      </c>
      <c r="I1749" s="76" t="s">
        <v>676</v>
      </c>
      <c r="J1749" s="76" t="s">
        <v>384</v>
      </c>
      <c r="K1749" s="76" t="s">
        <v>3009</v>
      </c>
      <c r="L1749" s="76" t="s">
        <v>461</v>
      </c>
      <c r="M1749" s="76" t="s">
        <v>2728</v>
      </c>
      <c r="N1749" s="76">
        <v>70</v>
      </c>
      <c r="O1749" s="76">
        <v>47</v>
      </c>
      <c r="P1749" s="78">
        <v>0.3286</v>
      </c>
    </row>
    <row r="1750" spans="7:16" x14ac:dyDescent="0.3">
      <c r="G1750" t="s">
        <v>3378</v>
      </c>
      <c r="H1750" s="76" t="s">
        <v>675</v>
      </c>
      <c r="I1750" s="76" t="s">
        <v>676</v>
      </c>
      <c r="J1750" s="76" t="s">
        <v>384</v>
      </c>
      <c r="K1750" s="76" t="s">
        <v>1791</v>
      </c>
      <c r="L1750" s="76" t="s">
        <v>483</v>
      </c>
      <c r="M1750" s="76" t="s">
        <v>2728</v>
      </c>
      <c r="N1750" s="76">
        <v>50</v>
      </c>
      <c r="O1750" s="76">
        <v>36</v>
      </c>
      <c r="P1750" s="78">
        <v>0.28000000000000003</v>
      </c>
    </row>
    <row r="1751" spans="7:16" x14ac:dyDescent="0.3">
      <c r="G1751" t="s">
        <v>3379</v>
      </c>
      <c r="H1751" s="76" t="s">
        <v>638</v>
      </c>
      <c r="I1751" s="76" t="s">
        <v>639</v>
      </c>
      <c r="J1751" s="76" t="s">
        <v>360</v>
      </c>
      <c r="K1751" s="77">
        <v>42376</v>
      </c>
      <c r="L1751" s="76" t="s">
        <v>424</v>
      </c>
      <c r="M1751" s="76" t="s">
        <v>757</v>
      </c>
      <c r="N1751" s="76">
        <v>500</v>
      </c>
      <c r="O1751" s="76">
        <v>500</v>
      </c>
      <c r="P1751" s="78">
        <v>0</v>
      </c>
    </row>
    <row r="1752" spans="7:16" x14ac:dyDescent="0.3">
      <c r="G1752" t="s">
        <v>3380</v>
      </c>
      <c r="H1752" s="76" t="s">
        <v>421</v>
      </c>
      <c r="I1752" s="76" t="s">
        <v>422</v>
      </c>
      <c r="J1752" s="76" t="s">
        <v>384</v>
      </c>
      <c r="K1752" s="76" t="s">
        <v>3381</v>
      </c>
      <c r="L1752" s="76" t="s">
        <v>461</v>
      </c>
      <c r="M1752" s="76" t="s">
        <v>2706</v>
      </c>
      <c r="N1752" s="76">
        <v>70</v>
      </c>
      <c r="O1752" s="76">
        <v>68</v>
      </c>
      <c r="P1752" s="78">
        <v>2.86E-2</v>
      </c>
    </row>
    <row r="1753" spans="7:16" x14ac:dyDescent="0.3">
      <c r="G1753" t="s">
        <v>3382</v>
      </c>
      <c r="H1753" s="76" t="s">
        <v>668</v>
      </c>
      <c r="I1753" s="76" t="s">
        <v>669</v>
      </c>
      <c r="J1753" s="76" t="s">
        <v>360</v>
      </c>
      <c r="K1753" s="76" t="s">
        <v>690</v>
      </c>
      <c r="L1753" s="76" t="s">
        <v>373</v>
      </c>
      <c r="M1753" s="76" t="s">
        <v>728</v>
      </c>
      <c r="N1753" s="76">
        <v>700</v>
      </c>
      <c r="O1753" s="76">
        <v>567</v>
      </c>
      <c r="P1753" s="78">
        <v>0.19</v>
      </c>
    </row>
    <row r="1754" spans="7:16" x14ac:dyDescent="0.3">
      <c r="G1754" t="s">
        <v>3383</v>
      </c>
      <c r="H1754" s="76" t="s">
        <v>524</v>
      </c>
      <c r="I1754" s="76" t="s">
        <v>465</v>
      </c>
      <c r="J1754" s="76" t="s">
        <v>366</v>
      </c>
      <c r="K1754" s="76" t="s">
        <v>1606</v>
      </c>
      <c r="L1754" s="76" t="s">
        <v>391</v>
      </c>
      <c r="M1754" s="76" t="s">
        <v>2198</v>
      </c>
      <c r="N1754" s="76">
        <v>30</v>
      </c>
      <c r="O1754" s="76">
        <v>29</v>
      </c>
      <c r="P1754" s="78">
        <v>3.3300000000000003E-2</v>
      </c>
    </row>
    <row r="1755" spans="7:16" x14ac:dyDescent="0.3">
      <c r="G1755" t="s">
        <v>3384</v>
      </c>
      <c r="H1755" s="76" t="s">
        <v>370</v>
      </c>
      <c r="I1755" s="76" t="s">
        <v>371</v>
      </c>
      <c r="J1755" s="76" t="s">
        <v>372</v>
      </c>
      <c r="K1755" s="77">
        <v>42349</v>
      </c>
      <c r="L1755" s="76" t="s">
        <v>361</v>
      </c>
      <c r="M1755" s="76" t="s">
        <v>512</v>
      </c>
      <c r="N1755" s="76">
        <v>80</v>
      </c>
      <c r="O1755" s="76">
        <v>52</v>
      </c>
      <c r="P1755" s="78">
        <v>0.35</v>
      </c>
    </row>
    <row r="1756" spans="7:16" x14ac:dyDescent="0.3">
      <c r="G1756" t="s">
        <v>3385</v>
      </c>
      <c r="H1756" s="76" t="s">
        <v>891</v>
      </c>
      <c r="I1756" s="76" t="s">
        <v>892</v>
      </c>
      <c r="J1756" s="76" t="s">
        <v>372</v>
      </c>
      <c r="K1756" s="76" t="s">
        <v>3386</v>
      </c>
      <c r="L1756" s="76" t="s">
        <v>396</v>
      </c>
      <c r="M1756" s="76" t="s">
        <v>893</v>
      </c>
      <c r="N1756" s="76">
        <v>500</v>
      </c>
      <c r="O1756" s="76">
        <v>440</v>
      </c>
      <c r="P1756" s="78">
        <v>0.12</v>
      </c>
    </row>
    <row r="1757" spans="7:16" x14ac:dyDescent="0.3">
      <c r="G1757" t="s">
        <v>3387</v>
      </c>
      <c r="H1757" s="76" t="s">
        <v>444</v>
      </c>
      <c r="I1757" s="76" t="s">
        <v>445</v>
      </c>
      <c r="J1757" s="76" t="s">
        <v>384</v>
      </c>
      <c r="K1757" s="77">
        <v>41827</v>
      </c>
      <c r="L1757" s="76" t="s">
        <v>373</v>
      </c>
      <c r="M1757" s="76" t="s">
        <v>3388</v>
      </c>
      <c r="N1757" s="76">
        <v>700</v>
      </c>
      <c r="O1757" s="76">
        <v>147</v>
      </c>
      <c r="P1757" s="78">
        <v>0.79</v>
      </c>
    </row>
    <row r="1758" spans="7:16" x14ac:dyDescent="0.3">
      <c r="G1758" t="s">
        <v>3389</v>
      </c>
      <c r="H1758" s="76" t="s">
        <v>364</v>
      </c>
      <c r="I1758" s="76" t="s">
        <v>365</v>
      </c>
      <c r="J1758" s="76" t="s">
        <v>366</v>
      </c>
      <c r="K1758" s="76" t="s">
        <v>3390</v>
      </c>
      <c r="L1758" s="76" t="s">
        <v>396</v>
      </c>
      <c r="M1758" s="76" t="s">
        <v>1531</v>
      </c>
      <c r="N1758" s="76">
        <v>500</v>
      </c>
      <c r="O1758" s="76">
        <v>400</v>
      </c>
      <c r="P1758" s="78">
        <v>0.2</v>
      </c>
    </row>
    <row r="1759" spans="7:16" x14ac:dyDescent="0.3">
      <c r="G1759" t="s">
        <v>3391</v>
      </c>
      <c r="H1759" s="76" t="s">
        <v>891</v>
      </c>
      <c r="I1759" s="76" t="s">
        <v>892</v>
      </c>
      <c r="J1759" s="76" t="s">
        <v>372</v>
      </c>
      <c r="K1759" s="76" t="s">
        <v>2001</v>
      </c>
      <c r="L1759" s="76" t="s">
        <v>379</v>
      </c>
      <c r="M1759" s="76" t="s">
        <v>1046</v>
      </c>
      <c r="N1759" s="76">
        <v>150</v>
      </c>
      <c r="O1759" s="76">
        <v>140</v>
      </c>
      <c r="P1759" s="78">
        <v>6.6699999999999995E-2</v>
      </c>
    </row>
    <row r="1760" spans="7:16" x14ac:dyDescent="0.3">
      <c r="G1760" t="s">
        <v>3392</v>
      </c>
      <c r="H1760" s="76" t="s">
        <v>891</v>
      </c>
      <c r="I1760" s="76" t="s">
        <v>892</v>
      </c>
      <c r="J1760" s="76" t="s">
        <v>372</v>
      </c>
      <c r="K1760" s="77">
        <v>42562</v>
      </c>
      <c r="L1760" s="76" t="s">
        <v>396</v>
      </c>
      <c r="M1760" s="76" t="s">
        <v>1421</v>
      </c>
      <c r="N1760" s="76">
        <v>500</v>
      </c>
      <c r="O1760" s="76">
        <v>450</v>
      </c>
      <c r="P1760" s="78">
        <v>0.1</v>
      </c>
    </row>
    <row r="1761" spans="7:16" x14ac:dyDescent="0.3">
      <c r="G1761" t="s">
        <v>3393</v>
      </c>
      <c r="H1761" s="76" t="s">
        <v>615</v>
      </c>
      <c r="I1761" s="76" t="s">
        <v>400</v>
      </c>
      <c r="J1761" s="76" t="s">
        <v>372</v>
      </c>
      <c r="K1761" s="77">
        <v>42950</v>
      </c>
      <c r="L1761" s="76" t="s">
        <v>373</v>
      </c>
      <c r="M1761" s="76" t="s">
        <v>1699</v>
      </c>
      <c r="N1761" s="76">
        <v>700</v>
      </c>
      <c r="O1761" s="76">
        <v>679</v>
      </c>
      <c r="P1761" s="78">
        <v>0.03</v>
      </c>
    </row>
    <row r="1762" spans="7:16" x14ac:dyDescent="0.3">
      <c r="G1762" t="s">
        <v>3394</v>
      </c>
      <c r="H1762" s="76" t="s">
        <v>494</v>
      </c>
      <c r="I1762" s="76" t="s">
        <v>465</v>
      </c>
      <c r="J1762" s="76" t="s">
        <v>366</v>
      </c>
      <c r="K1762" s="77">
        <v>42896</v>
      </c>
      <c r="L1762" s="76" t="s">
        <v>461</v>
      </c>
      <c r="M1762" s="76" t="s">
        <v>1373</v>
      </c>
      <c r="N1762" s="76">
        <v>70</v>
      </c>
      <c r="O1762" s="76">
        <v>69</v>
      </c>
      <c r="P1762" s="78">
        <v>1.43E-2</v>
      </c>
    </row>
    <row r="1763" spans="7:16" x14ac:dyDescent="0.3">
      <c r="G1763" t="s">
        <v>3395</v>
      </c>
      <c r="H1763" s="76" t="s">
        <v>382</v>
      </c>
      <c r="I1763" s="76" t="s">
        <v>383</v>
      </c>
      <c r="J1763" s="76" t="s">
        <v>384</v>
      </c>
      <c r="K1763" s="77">
        <v>42248</v>
      </c>
      <c r="L1763" s="76" t="s">
        <v>424</v>
      </c>
      <c r="M1763" s="76" t="s">
        <v>533</v>
      </c>
      <c r="N1763" s="76">
        <v>500</v>
      </c>
      <c r="O1763" s="76">
        <v>495</v>
      </c>
      <c r="P1763" s="78">
        <v>0.01</v>
      </c>
    </row>
    <row r="1764" spans="7:16" x14ac:dyDescent="0.3">
      <c r="G1764" t="s">
        <v>3396</v>
      </c>
      <c r="H1764" s="76" t="s">
        <v>454</v>
      </c>
      <c r="I1764" s="76" t="s">
        <v>455</v>
      </c>
      <c r="J1764" s="76" t="s">
        <v>360</v>
      </c>
      <c r="K1764" s="76" t="s">
        <v>3397</v>
      </c>
      <c r="L1764" s="76" t="s">
        <v>396</v>
      </c>
      <c r="M1764" s="76" t="s">
        <v>1772</v>
      </c>
      <c r="N1764" s="76">
        <v>500</v>
      </c>
      <c r="O1764" s="76">
        <v>455</v>
      </c>
      <c r="P1764" s="78">
        <v>0.09</v>
      </c>
    </row>
    <row r="1765" spans="7:16" x14ac:dyDescent="0.3">
      <c r="G1765" t="s">
        <v>3398</v>
      </c>
      <c r="H1765" s="76" t="s">
        <v>364</v>
      </c>
      <c r="I1765" s="76" t="s">
        <v>365</v>
      </c>
      <c r="J1765" s="76" t="s">
        <v>366</v>
      </c>
      <c r="K1765" s="76" t="s">
        <v>3399</v>
      </c>
      <c r="L1765" s="76" t="s">
        <v>461</v>
      </c>
      <c r="M1765" s="76" t="s">
        <v>555</v>
      </c>
      <c r="N1765" s="76">
        <v>70</v>
      </c>
      <c r="O1765" s="76">
        <v>56</v>
      </c>
      <c r="P1765" s="78">
        <v>0.2</v>
      </c>
    </row>
    <row r="1766" spans="7:16" x14ac:dyDescent="0.3">
      <c r="G1766" t="s">
        <v>3400</v>
      </c>
      <c r="H1766" s="76" t="s">
        <v>409</v>
      </c>
      <c r="I1766" s="76" t="s">
        <v>410</v>
      </c>
      <c r="J1766" s="76" t="s">
        <v>360</v>
      </c>
      <c r="K1766" s="76" t="s">
        <v>2359</v>
      </c>
      <c r="L1766" s="76" t="s">
        <v>461</v>
      </c>
      <c r="M1766" s="76" t="s">
        <v>1668</v>
      </c>
      <c r="N1766" s="76">
        <v>70</v>
      </c>
      <c r="O1766" s="76">
        <v>62</v>
      </c>
      <c r="P1766" s="78">
        <v>0.1143</v>
      </c>
    </row>
    <row r="1767" spans="7:16" x14ac:dyDescent="0.3">
      <c r="G1767" t="s">
        <v>3401</v>
      </c>
      <c r="H1767" s="76" t="s">
        <v>528</v>
      </c>
      <c r="I1767" s="76" t="s">
        <v>465</v>
      </c>
      <c r="J1767" s="76" t="s">
        <v>366</v>
      </c>
      <c r="K1767" s="76" t="s">
        <v>866</v>
      </c>
      <c r="L1767" s="76" t="s">
        <v>379</v>
      </c>
      <c r="M1767" s="76" t="s">
        <v>2032</v>
      </c>
      <c r="N1767" s="76">
        <v>150</v>
      </c>
      <c r="O1767" s="76">
        <v>128</v>
      </c>
      <c r="P1767" s="78">
        <v>0.1467</v>
      </c>
    </row>
    <row r="1768" spans="7:16" x14ac:dyDescent="0.3">
      <c r="G1768" t="s">
        <v>3402</v>
      </c>
      <c r="H1768" s="76" t="s">
        <v>3165</v>
      </c>
      <c r="I1768" s="76" t="s">
        <v>365</v>
      </c>
      <c r="J1768" s="76" t="s">
        <v>366</v>
      </c>
      <c r="K1768" s="77">
        <v>43313</v>
      </c>
      <c r="L1768" s="76" t="s">
        <v>379</v>
      </c>
      <c r="M1768" s="76" t="s">
        <v>3403</v>
      </c>
      <c r="N1768" s="76">
        <v>150</v>
      </c>
      <c r="O1768" s="76">
        <v>131</v>
      </c>
      <c r="P1768" s="78">
        <v>0.12670000000000001</v>
      </c>
    </row>
    <row r="1769" spans="7:16" x14ac:dyDescent="0.3">
      <c r="G1769" t="s">
        <v>3404</v>
      </c>
      <c r="H1769" s="76" t="s">
        <v>560</v>
      </c>
      <c r="I1769" s="76" t="s">
        <v>465</v>
      </c>
      <c r="J1769" s="76" t="s">
        <v>366</v>
      </c>
      <c r="K1769" s="77">
        <v>43161</v>
      </c>
      <c r="L1769" s="76" t="s">
        <v>391</v>
      </c>
      <c r="M1769" s="76" t="s">
        <v>3246</v>
      </c>
      <c r="N1769" s="76">
        <v>30</v>
      </c>
      <c r="O1769" s="76">
        <v>30</v>
      </c>
      <c r="P1769" s="78">
        <v>0</v>
      </c>
    </row>
    <row r="1770" spans="7:16" x14ac:dyDescent="0.3">
      <c r="G1770" t="s">
        <v>3405</v>
      </c>
      <c r="H1770" s="76" t="s">
        <v>370</v>
      </c>
      <c r="I1770" s="76" t="s">
        <v>371</v>
      </c>
      <c r="J1770" s="76" t="s">
        <v>372</v>
      </c>
      <c r="K1770" s="76" t="s">
        <v>1560</v>
      </c>
      <c r="L1770" s="76" t="s">
        <v>396</v>
      </c>
      <c r="M1770" s="76" t="s">
        <v>958</v>
      </c>
      <c r="N1770" s="76">
        <v>500</v>
      </c>
      <c r="O1770" s="76">
        <v>460</v>
      </c>
      <c r="P1770" s="78">
        <v>0.08</v>
      </c>
    </row>
    <row r="1771" spans="7:16" x14ac:dyDescent="0.3">
      <c r="G1771" t="s">
        <v>3406</v>
      </c>
      <c r="H1771" s="76" t="s">
        <v>675</v>
      </c>
      <c r="I1771" s="76" t="s">
        <v>676</v>
      </c>
      <c r="J1771" s="76" t="s">
        <v>384</v>
      </c>
      <c r="K1771" s="76" t="s">
        <v>1619</v>
      </c>
      <c r="L1771" s="76" t="s">
        <v>379</v>
      </c>
      <c r="M1771" s="76" t="s">
        <v>1266</v>
      </c>
      <c r="N1771" s="76">
        <v>150</v>
      </c>
      <c r="O1771" s="76">
        <v>120</v>
      </c>
      <c r="P1771" s="78">
        <v>0.2</v>
      </c>
    </row>
    <row r="1772" spans="7:16" x14ac:dyDescent="0.3">
      <c r="G1772" t="s">
        <v>3407</v>
      </c>
      <c r="H1772" s="76" t="s">
        <v>560</v>
      </c>
      <c r="I1772" s="76" t="s">
        <v>465</v>
      </c>
      <c r="J1772" s="76" t="s">
        <v>366</v>
      </c>
      <c r="K1772" s="77">
        <v>43382</v>
      </c>
      <c r="L1772" s="76" t="s">
        <v>405</v>
      </c>
      <c r="M1772" s="76" t="s">
        <v>2223</v>
      </c>
      <c r="N1772" s="76">
        <v>800</v>
      </c>
      <c r="O1772" s="76">
        <v>544</v>
      </c>
      <c r="P1772" s="78">
        <v>0.32</v>
      </c>
    </row>
    <row r="1773" spans="7:16" x14ac:dyDescent="0.3">
      <c r="G1773" t="s">
        <v>3408</v>
      </c>
      <c r="H1773" s="76" t="s">
        <v>638</v>
      </c>
      <c r="I1773" s="76" t="s">
        <v>639</v>
      </c>
      <c r="J1773" s="76" t="s">
        <v>360</v>
      </c>
      <c r="K1773" s="77">
        <v>42132</v>
      </c>
      <c r="L1773" s="76" t="s">
        <v>379</v>
      </c>
      <c r="M1773" s="76" t="s">
        <v>1851</v>
      </c>
      <c r="N1773" s="76">
        <v>150</v>
      </c>
      <c r="O1773" s="76">
        <v>132</v>
      </c>
      <c r="P1773" s="78">
        <v>0.12</v>
      </c>
    </row>
    <row r="1774" spans="7:16" x14ac:dyDescent="0.3">
      <c r="G1774" t="s">
        <v>3409</v>
      </c>
      <c r="H1774" s="76" t="s">
        <v>469</v>
      </c>
      <c r="I1774" s="76" t="s">
        <v>435</v>
      </c>
      <c r="J1774" s="76" t="s">
        <v>360</v>
      </c>
      <c r="K1774" s="76" t="s">
        <v>3268</v>
      </c>
      <c r="L1774" s="76" t="s">
        <v>396</v>
      </c>
      <c r="M1774" s="76" t="s">
        <v>1128</v>
      </c>
      <c r="N1774" s="76">
        <v>500</v>
      </c>
      <c r="O1774" s="76">
        <v>435</v>
      </c>
      <c r="P1774" s="78">
        <v>0.13</v>
      </c>
    </row>
    <row r="1775" spans="7:16" x14ac:dyDescent="0.3">
      <c r="G1775" t="s">
        <v>3410</v>
      </c>
      <c r="H1775" s="76" t="s">
        <v>3165</v>
      </c>
      <c r="I1775" s="76" t="s">
        <v>365</v>
      </c>
      <c r="J1775" s="76" t="s">
        <v>366</v>
      </c>
      <c r="K1775" s="77">
        <v>42136</v>
      </c>
      <c r="L1775" s="76" t="s">
        <v>405</v>
      </c>
      <c r="M1775" s="76" t="s">
        <v>3411</v>
      </c>
      <c r="N1775" s="76">
        <v>800</v>
      </c>
      <c r="O1775" s="76">
        <v>448</v>
      </c>
      <c r="P1775" s="78">
        <v>0.44</v>
      </c>
    </row>
    <row r="1776" spans="7:16" x14ac:dyDescent="0.3">
      <c r="G1776" t="s">
        <v>3412</v>
      </c>
      <c r="H1776" s="76" t="s">
        <v>494</v>
      </c>
      <c r="I1776" s="76" t="s">
        <v>465</v>
      </c>
      <c r="J1776" s="76" t="s">
        <v>366</v>
      </c>
      <c r="K1776" s="76" t="s">
        <v>2114</v>
      </c>
      <c r="L1776" s="76" t="s">
        <v>424</v>
      </c>
      <c r="M1776" s="76" t="s">
        <v>820</v>
      </c>
      <c r="N1776" s="76">
        <v>500</v>
      </c>
      <c r="O1776" s="76">
        <v>500</v>
      </c>
      <c r="P1776" s="78">
        <v>0</v>
      </c>
    </row>
    <row r="1777" spans="7:16" x14ac:dyDescent="0.3">
      <c r="G1777" t="s">
        <v>3413</v>
      </c>
      <c r="H1777" s="76" t="s">
        <v>615</v>
      </c>
      <c r="I1777" s="76" t="s">
        <v>400</v>
      </c>
      <c r="J1777" s="76" t="s">
        <v>372</v>
      </c>
      <c r="K1777" s="76" t="s">
        <v>1060</v>
      </c>
      <c r="L1777" s="76" t="s">
        <v>483</v>
      </c>
      <c r="M1777" s="76" t="s">
        <v>1965</v>
      </c>
      <c r="N1777" s="76">
        <v>50</v>
      </c>
      <c r="O1777" s="76">
        <v>47</v>
      </c>
      <c r="P1777" s="78">
        <v>0.06</v>
      </c>
    </row>
    <row r="1778" spans="7:16" x14ac:dyDescent="0.3">
      <c r="G1778" t="s">
        <v>3414</v>
      </c>
      <c r="H1778" s="76" t="s">
        <v>560</v>
      </c>
      <c r="I1778" s="76" t="s">
        <v>465</v>
      </c>
      <c r="J1778" s="76" t="s">
        <v>366</v>
      </c>
      <c r="K1778" s="76" t="s">
        <v>3415</v>
      </c>
      <c r="L1778" s="76" t="s">
        <v>385</v>
      </c>
      <c r="M1778" s="76" t="s">
        <v>562</v>
      </c>
      <c r="N1778" s="76">
        <v>50</v>
      </c>
      <c r="O1778" s="76">
        <v>46</v>
      </c>
      <c r="P1778" s="78">
        <v>0.08</v>
      </c>
    </row>
    <row r="1779" spans="7:16" x14ac:dyDescent="0.3">
      <c r="G1779" t="s">
        <v>3416</v>
      </c>
      <c r="H1779" s="76" t="s">
        <v>399</v>
      </c>
      <c r="I1779" s="76" t="s">
        <v>400</v>
      </c>
      <c r="J1779" s="76" t="s">
        <v>372</v>
      </c>
      <c r="K1779" s="76" t="s">
        <v>3417</v>
      </c>
      <c r="L1779" s="76" t="s">
        <v>379</v>
      </c>
      <c r="M1779" s="76" t="s">
        <v>1650</v>
      </c>
      <c r="N1779" s="76">
        <v>150</v>
      </c>
      <c r="O1779" s="76">
        <v>126</v>
      </c>
      <c r="P1779" s="78">
        <v>0.16</v>
      </c>
    </row>
    <row r="1780" spans="7:16" x14ac:dyDescent="0.3">
      <c r="G1780" t="s">
        <v>3418</v>
      </c>
      <c r="H1780" s="76" t="s">
        <v>551</v>
      </c>
      <c r="I1780" s="76" t="s">
        <v>552</v>
      </c>
      <c r="J1780" s="76" t="s">
        <v>360</v>
      </c>
      <c r="K1780" s="77">
        <v>41887</v>
      </c>
      <c r="L1780" s="76" t="s">
        <v>391</v>
      </c>
      <c r="M1780" s="76" t="s">
        <v>1366</v>
      </c>
      <c r="N1780" s="76">
        <v>30</v>
      </c>
      <c r="O1780" s="76">
        <v>23</v>
      </c>
      <c r="P1780" s="78">
        <v>0.23330000000000001</v>
      </c>
    </row>
    <row r="1781" spans="7:16" x14ac:dyDescent="0.3">
      <c r="G1781" t="s">
        <v>3419</v>
      </c>
      <c r="H1781" s="76" t="s">
        <v>619</v>
      </c>
      <c r="I1781" s="76" t="s">
        <v>620</v>
      </c>
      <c r="J1781" s="76" t="s">
        <v>372</v>
      </c>
      <c r="K1781" s="77">
        <v>42223</v>
      </c>
      <c r="L1781" s="76" t="s">
        <v>475</v>
      </c>
      <c r="M1781" s="76" t="s">
        <v>3420</v>
      </c>
      <c r="N1781" s="76">
        <v>250</v>
      </c>
      <c r="O1781" s="76">
        <v>230</v>
      </c>
      <c r="P1781" s="78">
        <v>0.08</v>
      </c>
    </row>
    <row r="1782" spans="7:16" x14ac:dyDescent="0.3">
      <c r="G1782" t="s">
        <v>3421</v>
      </c>
      <c r="H1782" s="76" t="s">
        <v>638</v>
      </c>
      <c r="I1782" s="76" t="s">
        <v>639</v>
      </c>
      <c r="J1782" s="76" t="s">
        <v>360</v>
      </c>
      <c r="K1782" s="76" t="s">
        <v>3022</v>
      </c>
      <c r="L1782" s="76" t="s">
        <v>391</v>
      </c>
      <c r="M1782" s="76" t="s">
        <v>757</v>
      </c>
      <c r="N1782" s="76">
        <v>30</v>
      </c>
      <c r="O1782" s="76">
        <v>29</v>
      </c>
      <c r="P1782" s="78">
        <v>3.3300000000000003E-2</v>
      </c>
    </row>
    <row r="1783" spans="7:16" x14ac:dyDescent="0.3">
      <c r="G1783" t="s">
        <v>3422</v>
      </c>
      <c r="H1783" s="76" t="s">
        <v>473</v>
      </c>
      <c r="I1783" s="76" t="s">
        <v>404</v>
      </c>
      <c r="J1783" s="76" t="s">
        <v>360</v>
      </c>
      <c r="K1783" s="77">
        <v>41741</v>
      </c>
      <c r="L1783" s="76" t="s">
        <v>391</v>
      </c>
      <c r="M1783" s="76" t="s">
        <v>1496</v>
      </c>
      <c r="N1783" s="76">
        <v>30</v>
      </c>
      <c r="O1783" s="76">
        <v>24</v>
      </c>
      <c r="P1783" s="78">
        <v>0.2</v>
      </c>
    </row>
    <row r="1784" spans="7:16" x14ac:dyDescent="0.3">
      <c r="G1784" t="s">
        <v>3423</v>
      </c>
      <c r="H1784" s="76" t="s">
        <v>497</v>
      </c>
      <c r="I1784" s="76" t="s">
        <v>445</v>
      </c>
      <c r="J1784" s="76" t="s">
        <v>384</v>
      </c>
      <c r="K1784" s="76" t="s">
        <v>2072</v>
      </c>
      <c r="L1784" s="76" t="s">
        <v>396</v>
      </c>
      <c r="M1784" s="76" t="s">
        <v>1030</v>
      </c>
      <c r="N1784" s="76">
        <v>500</v>
      </c>
      <c r="O1784" s="76">
        <v>490</v>
      </c>
      <c r="P1784" s="78">
        <v>0.02</v>
      </c>
    </row>
    <row r="1785" spans="7:16" x14ac:dyDescent="0.3">
      <c r="G1785" t="s">
        <v>3424</v>
      </c>
      <c r="H1785" s="76" t="s">
        <v>845</v>
      </c>
      <c r="I1785" s="76" t="s">
        <v>846</v>
      </c>
      <c r="J1785" s="76" t="s">
        <v>360</v>
      </c>
      <c r="K1785" s="77">
        <v>43232</v>
      </c>
      <c r="L1785" s="76" t="s">
        <v>385</v>
      </c>
      <c r="M1785" s="76" t="s">
        <v>1264</v>
      </c>
      <c r="N1785" s="76">
        <v>50</v>
      </c>
      <c r="O1785" s="76">
        <v>47</v>
      </c>
      <c r="P1785" s="78">
        <v>0.06</v>
      </c>
    </row>
    <row r="1786" spans="7:16" x14ac:dyDescent="0.3">
      <c r="G1786" t="s">
        <v>3425</v>
      </c>
      <c r="H1786" s="76" t="s">
        <v>421</v>
      </c>
      <c r="I1786" s="76" t="s">
        <v>422</v>
      </c>
      <c r="J1786" s="76" t="s">
        <v>384</v>
      </c>
      <c r="K1786" s="77">
        <v>43257</v>
      </c>
      <c r="L1786" s="76" t="s">
        <v>411</v>
      </c>
      <c r="M1786" s="76" t="s">
        <v>2202</v>
      </c>
      <c r="N1786" s="76">
        <v>1000</v>
      </c>
      <c r="O1786" s="76">
        <v>740</v>
      </c>
      <c r="P1786" s="78">
        <v>0.26</v>
      </c>
    </row>
    <row r="1787" spans="7:16" x14ac:dyDescent="0.3">
      <c r="G1787" t="s">
        <v>3426</v>
      </c>
      <c r="H1787" s="76" t="s">
        <v>464</v>
      </c>
      <c r="I1787" s="76" t="s">
        <v>465</v>
      </c>
      <c r="J1787" s="76" t="s">
        <v>366</v>
      </c>
      <c r="K1787" s="76" t="s">
        <v>3427</v>
      </c>
      <c r="L1787" s="76" t="s">
        <v>483</v>
      </c>
      <c r="M1787" s="76" t="s">
        <v>467</v>
      </c>
      <c r="N1787" s="76">
        <v>50</v>
      </c>
      <c r="O1787" s="76">
        <v>45</v>
      </c>
      <c r="P1787" s="78">
        <v>0.1</v>
      </c>
    </row>
    <row r="1788" spans="7:16" x14ac:dyDescent="0.3">
      <c r="G1788" t="s">
        <v>3428</v>
      </c>
      <c r="H1788" s="76" t="s">
        <v>3257</v>
      </c>
      <c r="I1788" s="76" t="s">
        <v>465</v>
      </c>
      <c r="J1788" s="76" t="s">
        <v>366</v>
      </c>
      <c r="K1788" s="76" t="s">
        <v>1248</v>
      </c>
      <c r="L1788" s="76" t="s">
        <v>373</v>
      </c>
      <c r="M1788" s="76" t="s">
        <v>3429</v>
      </c>
      <c r="N1788" s="76">
        <v>700</v>
      </c>
      <c r="O1788" s="76">
        <v>658</v>
      </c>
      <c r="P1788" s="78">
        <v>0.06</v>
      </c>
    </row>
    <row r="1789" spans="7:16" x14ac:dyDescent="0.3">
      <c r="G1789" t="s">
        <v>3430</v>
      </c>
      <c r="H1789" s="76" t="s">
        <v>528</v>
      </c>
      <c r="I1789" s="76" t="s">
        <v>465</v>
      </c>
      <c r="J1789" s="76" t="s">
        <v>366</v>
      </c>
      <c r="K1789" s="77">
        <v>41792</v>
      </c>
      <c r="L1789" s="76" t="s">
        <v>391</v>
      </c>
      <c r="M1789" s="76" t="s">
        <v>530</v>
      </c>
      <c r="N1789" s="76">
        <v>30</v>
      </c>
      <c r="O1789" s="76">
        <v>26</v>
      </c>
      <c r="P1789" s="78">
        <v>0.1333</v>
      </c>
    </row>
    <row r="1790" spans="7:16" x14ac:dyDescent="0.3">
      <c r="G1790" t="s">
        <v>3431</v>
      </c>
      <c r="H1790" s="76" t="s">
        <v>382</v>
      </c>
      <c r="I1790" s="76" t="s">
        <v>383</v>
      </c>
      <c r="J1790" s="76" t="s">
        <v>384</v>
      </c>
      <c r="K1790" s="77">
        <v>42405</v>
      </c>
      <c r="L1790" s="76" t="s">
        <v>424</v>
      </c>
      <c r="M1790" s="76" t="s">
        <v>533</v>
      </c>
      <c r="N1790" s="76">
        <v>500</v>
      </c>
      <c r="O1790" s="76">
        <v>500</v>
      </c>
      <c r="P1790" s="78">
        <v>0</v>
      </c>
    </row>
    <row r="1791" spans="7:16" x14ac:dyDescent="0.3">
      <c r="G1791" t="s">
        <v>3432</v>
      </c>
      <c r="H1791" s="76" t="s">
        <v>358</v>
      </c>
      <c r="I1791" s="76" t="s">
        <v>359</v>
      </c>
      <c r="J1791" s="76" t="s">
        <v>360</v>
      </c>
      <c r="K1791" s="76" t="s">
        <v>2353</v>
      </c>
      <c r="L1791" s="76" t="s">
        <v>405</v>
      </c>
      <c r="M1791" s="76" t="s">
        <v>501</v>
      </c>
      <c r="N1791" s="76">
        <v>800</v>
      </c>
      <c r="O1791" s="76">
        <v>480</v>
      </c>
      <c r="P1791" s="78">
        <v>0.4</v>
      </c>
    </row>
    <row r="1792" spans="7:16" x14ac:dyDescent="0.3">
      <c r="G1792" t="s">
        <v>3433</v>
      </c>
      <c r="H1792" s="76" t="s">
        <v>591</v>
      </c>
      <c r="I1792" s="76" t="s">
        <v>592</v>
      </c>
      <c r="J1792" s="76" t="s">
        <v>372</v>
      </c>
      <c r="K1792" s="76" t="s">
        <v>994</v>
      </c>
      <c r="L1792" s="76" t="s">
        <v>391</v>
      </c>
      <c r="M1792" s="76" t="s">
        <v>1160</v>
      </c>
      <c r="N1792" s="76">
        <v>30</v>
      </c>
      <c r="O1792" s="76">
        <v>21</v>
      </c>
      <c r="P1792" s="78">
        <v>0.3</v>
      </c>
    </row>
    <row r="1793" spans="7:16" x14ac:dyDescent="0.3">
      <c r="G1793" t="s">
        <v>3434</v>
      </c>
      <c r="H1793" s="76" t="s">
        <v>459</v>
      </c>
      <c r="I1793" s="76" t="s">
        <v>422</v>
      </c>
      <c r="J1793" s="76" t="s">
        <v>384</v>
      </c>
      <c r="K1793" s="77">
        <v>42681</v>
      </c>
      <c r="L1793" s="76" t="s">
        <v>361</v>
      </c>
      <c r="M1793" s="76" t="s">
        <v>1283</v>
      </c>
      <c r="N1793" s="76">
        <v>80</v>
      </c>
      <c r="O1793" s="76">
        <v>79</v>
      </c>
      <c r="P1793" s="78">
        <v>1.2500000000000001E-2</v>
      </c>
    </row>
    <row r="1794" spans="7:16" x14ac:dyDescent="0.3">
      <c r="G1794" t="s">
        <v>3435</v>
      </c>
      <c r="H1794" s="76" t="s">
        <v>454</v>
      </c>
      <c r="I1794" s="76" t="s">
        <v>455</v>
      </c>
      <c r="J1794" s="76" t="s">
        <v>360</v>
      </c>
      <c r="K1794" s="77">
        <v>42189</v>
      </c>
      <c r="L1794" s="76" t="s">
        <v>379</v>
      </c>
      <c r="M1794" s="76" t="s">
        <v>1772</v>
      </c>
      <c r="N1794" s="76">
        <v>150</v>
      </c>
      <c r="O1794" s="76">
        <v>149</v>
      </c>
      <c r="P1794" s="78">
        <v>6.7000000000000002E-3</v>
      </c>
    </row>
    <row r="1795" spans="7:16" x14ac:dyDescent="0.3">
      <c r="G1795" t="s">
        <v>3436</v>
      </c>
      <c r="H1795" s="76" t="s">
        <v>358</v>
      </c>
      <c r="I1795" s="76" t="s">
        <v>359</v>
      </c>
      <c r="J1795" s="76" t="s">
        <v>360</v>
      </c>
      <c r="K1795" s="77">
        <v>42133</v>
      </c>
      <c r="L1795" s="76" t="s">
        <v>373</v>
      </c>
      <c r="M1795" s="76" t="s">
        <v>780</v>
      </c>
      <c r="N1795" s="76">
        <v>700</v>
      </c>
      <c r="O1795" s="76">
        <v>700</v>
      </c>
      <c r="P1795" s="78">
        <v>0</v>
      </c>
    </row>
    <row r="1796" spans="7:16" x14ac:dyDescent="0.3">
      <c r="G1796" t="s">
        <v>3437</v>
      </c>
      <c r="H1796" s="76" t="s">
        <v>399</v>
      </c>
      <c r="I1796" s="76" t="s">
        <v>400</v>
      </c>
      <c r="J1796" s="76" t="s">
        <v>372</v>
      </c>
      <c r="K1796" s="76" t="s">
        <v>3438</v>
      </c>
      <c r="L1796" s="76" t="s">
        <v>411</v>
      </c>
      <c r="M1796" s="76" t="s">
        <v>843</v>
      </c>
      <c r="N1796" s="76">
        <v>1000</v>
      </c>
      <c r="O1796" s="76">
        <v>920</v>
      </c>
      <c r="P1796" s="78">
        <v>0.08</v>
      </c>
    </row>
    <row r="1797" spans="7:16" x14ac:dyDescent="0.3">
      <c r="G1797" t="s">
        <v>3439</v>
      </c>
      <c r="H1797" s="76" t="s">
        <v>675</v>
      </c>
      <c r="I1797" s="76" t="s">
        <v>676</v>
      </c>
      <c r="J1797" s="76" t="s">
        <v>384</v>
      </c>
      <c r="K1797" s="77">
        <v>42104</v>
      </c>
      <c r="L1797" s="76" t="s">
        <v>483</v>
      </c>
      <c r="M1797" s="76" t="s">
        <v>1266</v>
      </c>
      <c r="N1797" s="76">
        <v>50</v>
      </c>
      <c r="O1797" s="76">
        <v>40</v>
      </c>
      <c r="P1797" s="78">
        <v>0.2</v>
      </c>
    </row>
    <row r="1798" spans="7:16" x14ac:dyDescent="0.3">
      <c r="G1798" t="s">
        <v>3440</v>
      </c>
      <c r="H1798" s="76" t="s">
        <v>638</v>
      </c>
      <c r="I1798" s="76" t="s">
        <v>639</v>
      </c>
      <c r="J1798" s="76" t="s">
        <v>360</v>
      </c>
      <c r="K1798" s="77">
        <v>42007</v>
      </c>
      <c r="L1798" s="76" t="s">
        <v>405</v>
      </c>
      <c r="M1798" s="76" t="s">
        <v>1353</v>
      </c>
      <c r="N1798" s="76">
        <v>800</v>
      </c>
      <c r="O1798" s="76">
        <v>784</v>
      </c>
      <c r="P1798" s="78">
        <v>0.02</v>
      </c>
    </row>
    <row r="1799" spans="7:16" x14ac:dyDescent="0.3">
      <c r="G1799" t="s">
        <v>3441</v>
      </c>
      <c r="H1799" s="76" t="s">
        <v>421</v>
      </c>
      <c r="I1799" s="76" t="s">
        <v>422</v>
      </c>
      <c r="J1799" s="76" t="s">
        <v>384</v>
      </c>
      <c r="K1799" s="76" t="s">
        <v>3442</v>
      </c>
      <c r="L1799" s="76" t="s">
        <v>405</v>
      </c>
      <c r="M1799" s="76" t="s">
        <v>509</v>
      </c>
      <c r="N1799" s="76">
        <v>800</v>
      </c>
      <c r="O1799" s="76">
        <v>488</v>
      </c>
      <c r="P1799" s="78">
        <v>0.39</v>
      </c>
    </row>
    <row r="1800" spans="7:16" x14ac:dyDescent="0.3">
      <c r="G1800" t="s">
        <v>3443</v>
      </c>
      <c r="H1800" s="76" t="s">
        <v>524</v>
      </c>
      <c r="I1800" s="76" t="s">
        <v>465</v>
      </c>
      <c r="J1800" s="76" t="s">
        <v>366</v>
      </c>
      <c r="K1800" s="76" t="s">
        <v>2526</v>
      </c>
      <c r="L1800" s="76" t="s">
        <v>396</v>
      </c>
      <c r="M1800" s="76" t="s">
        <v>969</v>
      </c>
      <c r="N1800" s="76">
        <v>500</v>
      </c>
      <c r="O1800" s="76">
        <v>450</v>
      </c>
      <c r="P1800" s="78">
        <v>0.1</v>
      </c>
    </row>
    <row r="1801" spans="7:16" x14ac:dyDescent="0.3">
      <c r="G1801" t="s">
        <v>3444</v>
      </c>
      <c r="H1801" s="76" t="s">
        <v>668</v>
      </c>
      <c r="I1801" s="76" t="s">
        <v>669</v>
      </c>
      <c r="J1801" s="76" t="s">
        <v>360</v>
      </c>
      <c r="K1801" s="77">
        <v>43192</v>
      </c>
      <c r="L1801" s="76" t="s">
        <v>391</v>
      </c>
      <c r="M1801" s="76" t="s">
        <v>728</v>
      </c>
      <c r="N1801" s="76">
        <v>30</v>
      </c>
      <c r="O1801" s="76">
        <v>29</v>
      </c>
      <c r="P1801" s="78">
        <v>3.3300000000000003E-2</v>
      </c>
    </row>
    <row r="1802" spans="7:16" x14ac:dyDescent="0.3">
      <c r="G1802" t="s">
        <v>3445</v>
      </c>
      <c r="H1802" s="76" t="s">
        <v>382</v>
      </c>
      <c r="I1802" s="76" t="s">
        <v>383</v>
      </c>
      <c r="J1802" s="76" t="s">
        <v>384</v>
      </c>
      <c r="K1802" s="76" t="s">
        <v>2810</v>
      </c>
      <c r="L1802" s="76" t="s">
        <v>424</v>
      </c>
      <c r="M1802" s="76" t="s">
        <v>1971</v>
      </c>
      <c r="N1802" s="76">
        <v>500</v>
      </c>
      <c r="O1802" s="76">
        <v>490</v>
      </c>
      <c r="P1802" s="78">
        <v>0.02</v>
      </c>
    </row>
    <row r="1803" spans="7:16" x14ac:dyDescent="0.3">
      <c r="G1803" t="s">
        <v>3446</v>
      </c>
      <c r="H1803" s="76" t="s">
        <v>421</v>
      </c>
      <c r="I1803" s="76" t="s">
        <v>422</v>
      </c>
      <c r="J1803" s="76" t="s">
        <v>384</v>
      </c>
      <c r="K1803" s="77">
        <v>43380</v>
      </c>
      <c r="L1803" s="76" t="s">
        <v>475</v>
      </c>
      <c r="M1803" s="76" t="s">
        <v>425</v>
      </c>
      <c r="N1803" s="76">
        <v>250</v>
      </c>
      <c r="O1803" s="76">
        <v>240</v>
      </c>
      <c r="P1803" s="78">
        <v>0.04</v>
      </c>
    </row>
    <row r="1804" spans="7:16" x14ac:dyDescent="0.3">
      <c r="G1804" t="s">
        <v>3447</v>
      </c>
      <c r="H1804" s="76" t="s">
        <v>891</v>
      </c>
      <c r="I1804" s="76" t="s">
        <v>892</v>
      </c>
      <c r="J1804" s="76" t="s">
        <v>372</v>
      </c>
      <c r="K1804" s="76" t="s">
        <v>2097</v>
      </c>
      <c r="L1804" s="76" t="s">
        <v>391</v>
      </c>
      <c r="M1804" s="76" t="s">
        <v>1096</v>
      </c>
      <c r="N1804" s="76">
        <v>30</v>
      </c>
      <c r="O1804" s="76">
        <v>29</v>
      </c>
      <c r="P1804" s="78">
        <v>3.3300000000000003E-2</v>
      </c>
    </row>
    <row r="1805" spans="7:16" x14ac:dyDescent="0.3">
      <c r="G1805" t="s">
        <v>3448</v>
      </c>
      <c r="H1805" s="76" t="s">
        <v>434</v>
      </c>
      <c r="I1805" s="76" t="s">
        <v>435</v>
      </c>
      <c r="J1805" s="76" t="s">
        <v>360</v>
      </c>
      <c r="K1805" s="77">
        <v>42465</v>
      </c>
      <c r="L1805" s="76" t="s">
        <v>475</v>
      </c>
      <c r="M1805" s="76" t="s">
        <v>691</v>
      </c>
      <c r="N1805" s="76">
        <v>250</v>
      </c>
      <c r="O1805" s="76">
        <v>240</v>
      </c>
      <c r="P1805" s="78">
        <v>0.04</v>
      </c>
    </row>
    <row r="1806" spans="7:16" x14ac:dyDescent="0.3">
      <c r="G1806" t="s">
        <v>3449</v>
      </c>
      <c r="H1806" s="76" t="s">
        <v>747</v>
      </c>
      <c r="I1806" s="76" t="s">
        <v>748</v>
      </c>
      <c r="J1806" s="76" t="s">
        <v>360</v>
      </c>
      <c r="K1806" s="76" t="s">
        <v>3450</v>
      </c>
      <c r="L1806" s="76" t="s">
        <v>411</v>
      </c>
      <c r="M1806" s="76" t="s">
        <v>1901</v>
      </c>
      <c r="N1806" s="76">
        <v>1000</v>
      </c>
      <c r="O1806" s="76">
        <v>670</v>
      </c>
      <c r="P1806" s="78">
        <v>0.33</v>
      </c>
    </row>
    <row r="1807" spans="7:16" x14ac:dyDescent="0.3">
      <c r="G1807" t="s">
        <v>3451</v>
      </c>
      <c r="H1807" s="76" t="s">
        <v>459</v>
      </c>
      <c r="I1807" s="76" t="s">
        <v>422</v>
      </c>
      <c r="J1807" s="76" t="s">
        <v>384</v>
      </c>
      <c r="K1807" s="77">
        <v>43076</v>
      </c>
      <c r="L1807" s="76" t="s">
        <v>405</v>
      </c>
      <c r="M1807" s="76" t="s">
        <v>646</v>
      </c>
      <c r="N1807" s="76">
        <v>800</v>
      </c>
      <c r="O1807" s="76">
        <v>448</v>
      </c>
      <c r="P1807" s="78">
        <v>0.44</v>
      </c>
    </row>
    <row r="1808" spans="7:16" x14ac:dyDescent="0.3">
      <c r="G1808" t="s">
        <v>3452</v>
      </c>
      <c r="H1808" s="76" t="s">
        <v>376</v>
      </c>
      <c r="I1808" s="76" t="s">
        <v>377</v>
      </c>
      <c r="J1808" s="76" t="s">
        <v>360</v>
      </c>
      <c r="K1808" s="76" t="s">
        <v>2241</v>
      </c>
      <c r="L1808" s="76" t="s">
        <v>385</v>
      </c>
      <c r="M1808" s="76" t="s">
        <v>906</v>
      </c>
      <c r="N1808" s="76">
        <v>50</v>
      </c>
      <c r="O1808" s="76">
        <v>31</v>
      </c>
      <c r="P1808" s="78">
        <v>0.38</v>
      </c>
    </row>
    <row r="1809" spans="7:16" x14ac:dyDescent="0.3">
      <c r="G1809" t="s">
        <v>3453</v>
      </c>
      <c r="H1809" s="76" t="s">
        <v>675</v>
      </c>
      <c r="I1809" s="76" t="s">
        <v>676</v>
      </c>
      <c r="J1809" s="76" t="s">
        <v>384</v>
      </c>
      <c r="K1809" s="77">
        <v>42741</v>
      </c>
      <c r="L1809" s="76" t="s">
        <v>385</v>
      </c>
      <c r="M1809" s="76" t="s">
        <v>1266</v>
      </c>
      <c r="N1809" s="76">
        <v>50</v>
      </c>
      <c r="O1809" s="76">
        <v>46</v>
      </c>
      <c r="P1809" s="78">
        <v>0.08</v>
      </c>
    </row>
    <row r="1810" spans="7:16" x14ac:dyDescent="0.3">
      <c r="G1810" t="s">
        <v>3454</v>
      </c>
      <c r="H1810" s="76" t="s">
        <v>478</v>
      </c>
      <c r="I1810" s="76" t="s">
        <v>479</v>
      </c>
      <c r="J1810" s="76" t="s">
        <v>384</v>
      </c>
      <c r="K1810" s="76" t="s">
        <v>3455</v>
      </c>
      <c r="L1810" s="76" t="s">
        <v>483</v>
      </c>
      <c r="M1810" s="76" t="s">
        <v>1798</v>
      </c>
      <c r="N1810" s="76">
        <v>50</v>
      </c>
      <c r="O1810" s="76">
        <v>49</v>
      </c>
      <c r="P1810" s="78">
        <v>0.02</v>
      </c>
    </row>
    <row r="1811" spans="7:16" x14ac:dyDescent="0.3">
      <c r="G1811" t="s">
        <v>3456</v>
      </c>
      <c r="H1811" s="76" t="s">
        <v>409</v>
      </c>
      <c r="I1811" s="76" t="s">
        <v>410</v>
      </c>
      <c r="J1811" s="76" t="s">
        <v>360</v>
      </c>
      <c r="K1811" s="76" t="s">
        <v>3126</v>
      </c>
      <c r="L1811" s="76" t="s">
        <v>461</v>
      </c>
      <c r="M1811" s="76" t="s">
        <v>2633</v>
      </c>
      <c r="N1811" s="76">
        <v>70</v>
      </c>
      <c r="O1811" s="76">
        <v>63</v>
      </c>
      <c r="P1811" s="78">
        <v>0.1</v>
      </c>
    </row>
    <row r="1812" spans="7:16" x14ac:dyDescent="0.3">
      <c r="G1812" t="s">
        <v>3457</v>
      </c>
      <c r="H1812" s="76" t="s">
        <v>454</v>
      </c>
      <c r="I1812" s="76" t="s">
        <v>455</v>
      </c>
      <c r="J1812" s="76" t="s">
        <v>360</v>
      </c>
      <c r="K1812" s="76" t="s">
        <v>632</v>
      </c>
      <c r="L1812" s="76" t="s">
        <v>373</v>
      </c>
      <c r="M1812" s="76" t="s">
        <v>1529</v>
      </c>
      <c r="N1812" s="76">
        <v>700</v>
      </c>
      <c r="O1812" s="76">
        <v>686</v>
      </c>
      <c r="P1812" s="78">
        <v>0.02</v>
      </c>
    </row>
    <row r="1813" spans="7:16" x14ac:dyDescent="0.3">
      <c r="G1813" t="s">
        <v>3458</v>
      </c>
      <c r="H1813" s="76" t="s">
        <v>364</v>
      </c>
      <c r="I1813" s="76" t="s">
        <v>365</v>
      </c>
      <c r="J1813" s="76" t="s">
        <v>366</v>
      </c>
      <c r="K1813" s="77">
        <v>43348</v>
      </c>
      <c r="L1813" s="76" t="s">
        <v>396</v>
      </c>
      <c r="M1813" s="76" t="s">
        <v>368</v>
      </c>
      <c r="N1813" s="76">
        <v>500</v>
      </c>
      <c r="O1813" s="76">
        <v>425</v>
      </c>
      <c r="P1813" s="78">
        <v>0.15</v>
      </c>
    </row>
    <row r="1814" spans="7:16" x14ac:dyDescent="0.3">
      <c r="G1814" t="s">
        <v>3459</v>
      </c>
      <c r="H1814" s="76" t="s">
        <v>382</v>
      </c>
      <c r="I1814" s="76" t="s">
        <v>383</v>
      </c>
      <c r="J1814" s="76" t="s">
        <v>384</v>
      </c>
      <c r="K1814" s="76" t="s">
        <v>2622</v>
      </c>
      <c r="L1814" s="76" t="s">
        <v>405</v>
      </c>
      <c r="M1814" s="76" t="s">
        <v>427</v>
      </c>
      <c r="N1814" s="76">
        <v>800</v>
      </c>
      <c r="O1814" s="76">
        <v>784</v>
      </c>
      <c r="P1814" s="78">
        <v>0.02</v>
      </c>
    </row>
    <row r="1815" spans="7:16" x14ac:dyDescent="0.3">
      <c r="G1815" t="s">
        <v>3460</v>
      </c>
      <c r="H1815" s="76" t="s">
        <v>591</v>
      </c>
      <c r="I1815" s="76" t="s">
        <v>592</v>
      </c>
      <c r="J1815" s="76" t="s">
        <v>372</v>
      </c>
      <c r="K1815" s="76" t="s">
        <v>3461</v>
      </c>
      <c r="L1815" s="76" t="s">
        <v>483</v>
      </c>
      <c r="M1815" s="76" t="s">
        <v>2285</v>
      </c>
      <c r="N1815" s="76">
        <v>50</v>
      </c>
      <c r="O1815" s="76">
        <v>43</v>
      </c>
      <c r="P1815" s="78">
        <v>0.14000000000000001</v>
      </c>
    </row>
    <row r="1816" spans="7:16" x14ac:dyDescent="0.3">
      <c r="G1816" t="s">
        <v>3462</v>
      </c>
      <c r="H1816" s="76" t="s">
        <v>591</v>
      </c>
      <c r="I1816" s="76" t="s">
        <v>592</v>
      </c>
      <c r="J1816" s="76" t="s">
        <v>372</v>
      </c>
      <c r="K1816" s="76" t="s">
        <v>2810</v>
      </c>
      <c r="L1816" s="76" t="s">
        <v>361</v>
      </c>
      <c r="M1816" s="76" t="s">
        <v>796</v>
      </c>
      <c r="N1816" s="76">
        <v>80</v>
      </c>
      <c r="O1816" s="76">
        <v>74</v>
      </c>
      <c r="P1816" s="78">
        <v>7.4999999999999997E-2</v>
      </c>
    </row>
    <row r="1817" spans="7:16" x14ac:dyDescent="0.3">
      <c r="G1817" t="s">
        <v>3463</v>
      </c>
      <c r="H1817" s="76" t="s">
        <v>409</v>
      </c>
      <c r="I1817" s="76" t="s">
        <v>410</v>
      </c>
      <c r="J1817" s="76" t="s">
        <v>360</v>
      </c>
      <c r="K1817" s="77">
        <v>42101</v>
      </c>
      <c r="L1817" s="76" t="s">
        <v>385</v>
      </c>
      <c r="M1817" s="76" t="s">
        <v>2666</v>
      </c>
      <c r="N1817" s="76">
        <v>50</v>
      </c>
      <c r="O1817" s="76">
        <v>46</v>
      </c>
      <c r="P1817" s="78">
        <v>0.08</v>
      </c>
    </row>
    <row r="1818" spans="7:16" x14ac:dyDescent="0.3">
      <c r="G1818" t="s">
        <v>3464</v>
      </c>
      <c r="H1818" s="76" t="s">
        <v>473</v>
      </c>
      <c r="I1818" s="76" t="s">
        <v>404</v>
      </c>
      <c r="J1818" s="76" t="s">
        <v>360</v>
      </c>
      <c r="K1818" s="77">
        <v>41975</v>
      </c>
      <c r="L1818" s="76" t="s">
        <v>475</v>
      </c>
      <c r="M1818" s="76" t="s">
        <v>1498</v>
      </c>
      <c r="N1818" s="76">
        <v>250</v>
      </c>
      <c r="O1818" s="76">
        <v>223</v>
      </c>
      <c r="P1818" s="78">
        <v>0.108</v>
      </c>
    </row>
    <row r="1819" spans="7:16" x14ac:dyDescent="0.3">
      <c r="G1819" t="s">
        <v>3465</v>
      </c>
      <c r="H1819" s="76" t="s">
        <v>566</v>
      </c>
      <c r="I1819" s="76" t="s">
        <v>567</v>
      </c>
      <c r="J1819" s="76" t="s">
        <v>360</v>
      </c>
      <c r="K1819" s="76" t="s">
        <v>3466</v>
      </c>
      <c r="L1819" s="76" t="s">
        <v>475</v>
      </c>
      <c r="M1819" s="76" t="s">
        <v>1370</v>
      </c>
      <c r="N1819" s="76">
        <v>250</v>
      </c>
      <c r="O1819" s="76">
        <v>225</v>
      </c>
      <c r="P1819" s="78">
        <v>0.1</v>
      </c>
    </row>
    <row r="1820" spans="7:16" x14ac:dyDescent="0.3">
      <c r="G1820" t="s">
        <v>3467</v>
      </c>
      <c r="H1820" s="76" t="s">
        <v>514</v>
      </c>
      <c r="I1820" s="76" t="s">
        <v>515</v>
      </c>
      <c r="J1820" s="76" t="s">
        <v>360</v>
      </c>
      <c r="K1820" s="77">
        <v>42953</v>
      </c>
      <c r="L1820" s="76" t="s">
        <v>461</v>
      </c>
      <c r="M1820" s="76" t="s">
        <v>1424</v>
      </c>
      <c r="N1820" s="76">
        <v>70</v>
      </c>
      <c r="O1820" s="76">
        <v>69</v>
      </c>
      <c r="P1820" s="78">
        <v>1.43E-2</v>
      </c>
    </row>
    <row r="1821" spans="7:16" x14ac:dyDescent="0.3">
      <c r="G1821" t="s">
        <v>3468</v>
      </c>
      <c r="H1821" s="76" t="s">
        <v>370</v>
      </c>
      <c r="I1821" s="76" t="s">
        <v>371</v>
      </c>
      <c r="J1821" s="76" t="s">
        <v>372</v>
      </c>
      <c r="K1821" s="76" t="s">
        <v>2716</v>
      </c>
      <c r="L1821" s="76" t="s">
        <v>424</v>
      </c>
      <c r="M1821" s="76" t="s">
        <v>958</v>
      </c>
      <c r="N1821" s="76">
        <v>500</v>
      </c>
      <c r="O1821" s="76">
        <v>490</v>
      </c>
      <c r="P1821" s="78">
        <v>0.02</v>
      </c>
    </row>
    <row r="1822" spans="7:16" x14ac:dyDescent="0.3">
      <c r="G1822" t="s">
        <v>3469</v>
      </c>
      <c r="H1822" s="76" t="s">
        <v>675</v>
      </c>
      <c r="I1822" s="76" t="s">
        <v>676</v>
      </c>
      <c r="J1822" s="76" t="s">
        <v>384</v>
      </c>
      <c r="K1822" s="76" t="s">
        <v>2146</v>
      </c>
      <c r="L1822" s="76" t="s">
        <v>475</v>
      </c>
      <c r="M1822" s="76" t="s">
        <v>2728</v>
      </c>
      <c r="N1822" s="76">
        <v>250</v>
      </c>
      <c r="O1822" s="76">
        <v>220</v>
      </c>
      <c r="P1822" s="78">
        <v>0.12</v>
      </c>
    </row>
    <row r="1823" spans="7:16" x14ac:dyDescent="0.3">
      <c r="G1823" t="s">
        <v>3470</v>
      </c>
      <c r="H1823" s="76" t="s">
        <v>382</v>
      </c>
      <c r="I1823" s="76" t="s">
        <v>383</v>
      </c>
      <c r="J1823" s="76" t="s">
        <v>384</v>
      </c>
      <c r="K1823" s="77">
        <v>42249</v>
      </c>
      <c r="L1823" s="76" t="s">
        <v>483</v>
      </c>
      <c r="M1823" s="76" t="s">
        <v>3471</v>
      </c>
      <c r="N1823" s="76">
        <v>50</v>
      </c>
      <c r="O1823" s="76">
        <v>33</v>
      </c>
      <c r="P1823" s="78">
        <v>0.34</v>
      </c>
    </row>
    <row r="1824" spans="7:16" x14ac:dyDescent="0.3">
      <c r="G1824" t="s">
        <v>3472</v>
      </c>
      <c r="H1824" s="76" t="s">
        <v>675</v>
      </c>
      <c r="I1824" s="76" t="s">
        <v>676</v>
      </c>
      <c r="J1824" s="76" t="s">
        <v>384</v>
      </c>
      <c r="K1824" s="76" t="s">
        <v>1081</v>
      </c>
      <c r="L1824" s="76" t="s">
        <v>461</v>
      </c>
      <c r="M1824" s="76" t="s">
        <v>678</v>
      </c>
      <c r="N1824" s="76">
        <v>70</v>
      </c>
      <c r="O1824" s="76">
        <v>46</v>
      </c>
      <c r="P1824" s="78">
        <v>0.34289999999999998</v>
      </c>
    </row>
    <row r="1825" spans="7:16" x14ac:dyDescent="0.3">
      <c r="G1825" t="s">
        <v>3473</v>
      </c>
      <c r="H1825" s="76" t="s">
        <v>611</v>
      </c>
      <c r="I1825" s="76" t="s">
        <v>389</v>
      </c>
      <c r="J1825" s="76" t="s">
        <v>384</v>
      </c>
      <c r="K1825" s="76" t="s">
        <v>3237</v>
      </c>
      <c r="L1825" s="76" t="s">
        <v>391</v>
      </c>
      <c r="M1825" s="76" t="s">
        <v>3474</v>
      </c>
      <c r="N1825" s="76">
        <v>30</v>
      </c>
      <c r="O1825" s="76">
        <v>20</v>
      </c>
      <c r="P1825" s="78">
        <v>0.33329999999999999</v>
      </c>
    </row>
    <row r="1826" spans="7:16" x14ac:dyDescent="0.3">
      <c r="G1826" t="s">
        <v>3475</v>
      </c>
      <c r="H1826" s="76" t="s">
        <v>464</v>
      </c>
      <c r="I1826" s="76" t="s">
        <v>465</v>
      </c>
      <c r="J1826" s="76" t="s">
        <v>366</v>
      </c>
      <c r="K1826" s="77">
        <v>43286</v>
      </c>
      <c r="L1826" s="76" t="s">
        <v>424</v>
      </c>
      <c r="M1826" s="76" t="s">
        <v>636</v>
      </c>
      <c r="N1826" s="76">
        <v>500</v>
      </c>
      <c r="O1826" s="76">
        <v>500</v>
      </c>
      <c r="P1826" s="78">
        <v>0</v>
      </c>
    </row>
    <row r="1827" spans="7:16" x14ac:dyDescent="0.3">
      <c r="G1827" t="s">
        <v>3476</v>
      </c>
      <c r="H1827" s="76" t="s">
        <v>524</v>
      </c>
      <c r="I1827" s="76" t="s">
        <v>465</v>
      </c>
      <c r="J1827" s="76" t="s">
        <v>366</v>
      </c>
      <c r="K1827" s="77">
        <v>43443</v>
      </c>
      <c r="L1827" s="76" t="s">
        <v>424</v>
      </c>
      <c r="M1827" s="76" t="s">
        <v>2198</v>
      </c>
      <c r="N1827" s="76">
        <v>500</v>
      </c>
      <c r="O1827" s="76">
        <v>500</v>
      </c>
      <c r="P1827" s="78">
        <v>0</v>
      </c>
    </row>
    <row r="1828" spans="7:16" x14ac:dyDescent="0.3">
      <c r="G1828" t="s">
        <v>3477</v>
      </c>
      <c r="H1828" s="76" t="s">
        <v>560</v>
      </c>
      <c r="I1828" s="76" t="s">
        <v>465</v>
      </c>
      <c r="J1828" s="76" t="s">
        <v>366</v>
      </c>
      <c r="K1828" s="76" t="s">
        <v>3478</v>
      </c>
      <c r="L1828" s="76" t="s">
        <v>396</v>
      </c>
      <c r="M1828" s="76" t="s">
        <v>1706</v>
      </c>
      <c r="N1828" s="76">
        <v>500</v>
      </c>
      <c r="O1828" s="76">
        <v>350</v>
      </c>
      <c r="P1828" s="78">
        <v>0.3</v>
      </c>
    </row>
    <row r="1829" spans="7:16" x14ac:dyDescent="0.3">
      <c r="G1829" t="s">
        <v>3479</v>
      </c>
      <c r="H1829" s="76" t="s">
        <v>364</v>
      </c>
      <c r="I1829" s="76" t="s">
        <v>365</v>
      </c>
      <c r="J1829" s="76" t="s">
        <v>366</v>
      </c>
      <c r="K1829" s="77">
        <v>41674</v>
      </c>
      <c r="L1829" s="76" t="s">
        <v>424</v>
      </c>
      <c r="M1829" s="76" t="s">
        <v>1531</v>
      </c>
      <c r="N1829" s="76">
        <v>500</v>
      </c>
      <c r="O1829" s="76">
        <v>500</v>
      </c>
      <c r="P1829" s="78">
        <v>0</v>
      </c>
    </row>
    <row r="1830" spans="7:16" x14ac:dyDescent="0.3">
      <c r="G1830" t="s">
        <v>3480</v>
      </c>
      <c r="H1830" s="76" t="s">
        <v>434</v>
      </c>
      <c r="I1830" s="76" t="s">
        <v>435</v>
      </c>
      <c r="J1830" s="76" t="s">
        <v>360</v>
      </c>
      <c r="K1830" s="76" t="s">
        <v>378</v>
      </c>
      <c r="L1830" s="76" t="s">
        <v>391</v>
      </c>
      <c r="M1830" s="76" t="s">
        <v>577</v>
      </c>
      <c r="N1830" s="76">
        <v>30</v>
      </c>
      <c r="O1830" s="76">
        <v>29</v>
      </c>
      <c r="P1830" s="78">
        <v>3.3300000000000003E-2</v>
      </c>
    </row>
    <row r="1831" spans="7:16" x14ac:dyDescent="0.3">
      <c r="G1831" t="s">
        <v>3481</v>
      </c>
      <c r="H1831" s="76" t="s">
        <v>845</v>
      </c>
      <c r="I1831" s="76" t="s">
        <v>846</v>
      </c>
      <c r="J1831" s="76" t="s">
        <v>360</v>
      </c>
      <c r="K1831" s="77">
        <v>41976</v>
      </c>
      <c r="L1831" s="76" t="s">
        <v>396</v>
      </c>
      <c r="M1831" s="76" t="s">
        <v>903</v>
      </c>
      <c r="N1831" s="76">
        <v>500</v>
      </c>
      <c r="O1831" s="76">
        <v>300</v>
      </c>
      <c r="P1831" s="78">
        <v>0.4</v>
      </c>
    </row>
    <row r="1832" spans="7:16" x14ac:dyDescent="0.3">
      <c r="G1832" t="s">
        <v>3482</v>
      </c>
      <c r="H1832" s="76" t="s">
        <v>388</v>
      </c>
      <c r="I1832" s="76" t="s">
        <v>389</v>
      </c>
      <c r="J1832" s="76" t="s">
        <v>384</v>
      </c>
      <c r="K1832" s="76" t="s">
        <v>2160</v>
      </c>
      <c r="L1832" s="76" t="s">
        <v>461</v>
      </c>
      <c r="M1832" s="76" t="s">
        <v>2482</v>
      </c>
      <c r="N1832" s="76">
        <v>70</v>
      </c>
      <c r="O1832" s="76">
        <v>67</v>
      </c>
      <c r="P1832" s="78">
        <v>4.2900000000000001E-2</v>
      </c>
    </row>
    <row r="1833" spans="7:16" x14ac:dyDescent="0.3">
      <c r="G1833" t="s">
        <v>3483</v>
      </c>
      <c r="H1833" s="76" t="s">
        <v>497</v>
      </c>
      <c r="I1833" s="76" t="s">
        <v>445</v>
      </c>
      <c r="J1833" s="76" t="s">
        <v>384</v>
      </c>
      <c r="K1833" s="77">
        <v>42404</v>
      </c>
      <c r="L1833" s="76" t="s">
        <v>461</v>
      </c>
      <c r="M1833" s="76" t="s">
        <v>1450</v>
      </c>
      <c r="N1833" s="76">
        <v>70</v>
      </c>
      <c r="O1833" s="76">
        <v>61</v>
      </c>
      <c r="P1833" s="78">
        <v>0.12859999999999999</v>
      </c>
    </row>
    <row r="1834" spans="7:16" x14ac:dyDescent="0.3">
      <c r="G1834" t="s">
        <v>3484</v>
      </c>
      <c r="H1834" s="76" t="s">
        <v>473</v>
      </c>
      <c r="I1834" s="76" t="s">
        <v>404</v>
      </c>
      <c r="J1834" s="76" t="s">
        <v>360</v>
      </c>
      <c r="K1834" s="77">
        <v>42867</v>
      </c>
      <c r="L1834" s="76" t="s">
        <v>379</v>
      </c>
      <c r="M1834" s="76" t="s">
        <v>802</v>
      </c>
      <c r="N1834" s="76">
        <v>150</v>
      </c>
      <c r="O1834" s="76">
        <v>140</v>
      </c>
      <c r="P1834" s="78">
        <v>6.6699999999999995E-2</v>
      </c>
    </row>
    <row r="1835" spans="7:16" x14ac:dyDescent="0.3">
      <c r="G1835" t="s">
        <v>3485</v>
      </c>
      <c r="H1835" s="76" t="s">
        <v>421</v>
      </c>
      <c r="I1835" s="76" t="s">
        <v>422</v>
      </c>
      <c r="J1835" s="76" t="s">
        <v>384</v>
      </c>
      <c r="K1835" s="76" t="s">
        <v>3486</v>
      </c>
      <c r="L1835" s="76" t="s">
        <v>373</v>
      </c>
      <c r="M1835" s="76" t="s">
        <v>1211</v>
      </c>
      <c r="N1835" s="76">
        <v>700</v>
      </c>
      <c r="O1835" s="76">
        <v>602</v>
      </c>
      <c r="P1835" s="78">
        <v>0.14000000000000001</v>
      </c>
    </row>
    <row r="1836" spans="7:16" x14ac:dyDescent="0.3">
      <c r="G1836" t="s">
        <v>3487</v>
      </c>
      <c r="H1836" s="76" t="s">
        <v>3165</v>
      </c>
      <c r="I1836" s="76" t="s">
        <v>365</v>
      </c>
      <c r="J1836" s="76" t="s">
        <v>366</v>
      </c>
      <c r="K1836" s="76" t="s">
        <v>826</v>
      </c>
      <c r="L1836" s="76" t="s">
        <v>361</v>
      </c>
      <c r="M1836" s="76" t="s">
        <v>3227</v>
      </c>
      <c r="N1836" s="76">
        <v>80</v>
      </c>
      <c r="O1836" s="76">
        <v>74</v>
      </c>
      <c r="P1836" s="78">
        <v>7.4999999999999997E-2</v>
      </c>
    </row>
    <row r="1837" spans="7:16" x14ac:dyDescent="0.3">
      <c r="G1837" t="s">
        <v>3488</v>
      </c>
      <c r="H1837" s="76" t="s">
        <v>399</v>
      </c>
      <c r="I1837" s="76" t="s">
        <v>400</v>
      </c>
      <c r="J1837" s="76" t="s">
        <v>372</v>
      </c>
      <c r="K1837" s="76" t="s">
        <v>1805</v>
      </c>
      <c r="L1837" s="76" t="s">
        <v>373</v>
      </c>
      <c r="M1837" s="76" t="s">
        <v>1650</v>
      </c>
      <c r="N1837" s="76">
        <v>700</v>
      </c>
      <c r="O1837" s="76">
        <v>623</v>
      </c>
      <c r="P1837" s="78">
        <v>0.11</v>
      </c>
    </row>
    <row r="1838" spans="7:16" x14ac:dyDescent="0.3">
      <c r="G1838" t="s">
        <v>3489</v>
      </c>
      <c r="H1838" s="76" t="s">
        <v>429</v>
      </c>
      <c r="I1838" s="76" t="s">
        <v>430</v>
      </c>
      <c r="J1838" s="76" t="s">
        <v>384</v>
      </c>
      <c r="K1838" s="77">
        <v>41863</v>
      </c>
      <c r="L1838" s="76" t="s">
        <v>396</v>
      </c>
      <c r="M1838" s="76" t="s">
        <v>3490</v>
      </c>
      <c r="N1838" s="76">
        <v>500</v>
      </c>
      <c r="O1838" s="76">
        <v>365</v>
      </c>
      <c r="P1838" s="78">
        <v>0.27</v>
      </c>
    </row>
    <row r="1839" spans="7:16" x14ac:dyDescent="0.3">
      <c r="G1839" t="s">
        <v>3491</v>
      </c>
      <c r="H1839" s="76" t="s">
        <v>611</v>
      </c>
      <c r="I1839" s="76" t="s">
        <v>389</v>
      </c>
      <c r="J1839" s="76" t="s">
        <v>384</v>
      </c>
      <c r="K1839" s="76" t="s">
        <v>1774</v>
      </c>
      <c r="L1839" s="76" t="s">
        <v>475</v>
      </c>
      <c r="M1839" s="76" t="s">
        <v>666</v>
      </c>
      <c r="N1839" s="76">
        <v>250</v>
      </c>
      <c r="O1839" s="76">
        <v>193</v>
      </c>
      <c r="P1839" s="78">
        <v>0.22800000000000001</v>
      </c>
    </row>
    <row r="1840" spans="7:16" x14ac:dyDescent="0.3">
      <c r="G1840" t="s">
        <v>3492</v>
      </c>
      <c r="H1840" s="76" t="s">
        <v>3257</v>
      </c>
      <c r="I1840" s="76" t="s">
        <v>465</v>
      </c>
      <c r="J1840" s="76" t="s">
        <v>366</v>
      </c>
      <c r="K1840" s="77">
        <v>41918</v>
      </c>
      <c r="L1840" s="76" t="s">
        <v>385</v>
      </c>
      <c r="M1840" s="76" t="s">
        <v>3493</v>
      </c>
      <c r="N1840" s="76">
        <v>50</v>
      </c>
      <c r="O1840" s="76">
        <v>50</v>
      </c>
      <c r="P1840" s="78">
        <v>0</v>
      </c>
    </row>
    <row r="1841" spans="7:16" x14ac:dyDescent="0.3">
      <c r="G1841" t="s">
        <v>3494</v>
      </c>
      <c r="H1841" s="76" t="s">
        <v>3257</v>
      </c>
      <c r="I1841" s="76" t="s">
        <v>465</v>
      </c>
      <c r="J1841" s="76" t="s">
        <v>366</v>
      </c>
      <c r="K1841" s="76" t="s">
        <v>3263</v>
      </c>
      <c r="L1841" s="76" t="s">
        <v>373</v>
      </c>
      <c r="M1841" s="76" t="s">
        <v>3258</v>
      </c>
      <c r="N1841" s="76">
        <v>700</v>
      </c>
      <c r="O1841" s="76">
        <v>644</v>
      </c>
      <c r="P1841" s="78">
        <v>0.08</v>
      </c>
    </row>
    <row r="1842" spans="7:16" x14ac:dyDescent="0.3">
      <c r="G1842" t="s">
        <v>3495</v>
      </c>
      <c r="H1842" s="76" t="s">
        <v>489</v>
      </c>
      <c r="I1842" s="76" t="s">
        <v>490</v>
      </c>
      <c r="J1842" s="76" t="s">
        <v>360</v>
      </c>
      <c r="K1842" s="77">
        <v>42928</v>
      </c>
      <c r="L1842" s="76" t="s">
        <v>373</v>
      </c>
      <c r="M1842" s="76" t="s">
        <v>824</v>
      </c>
      <c r="N1842" s="76">
        <v>700</v>
      </c>
      <c r="O1842" s="76">
        <v>686</v>
      </c>
      <c r="P1842" s="78">
        <v>0.02</v>
      </c>
    </row>
    <row r="1843" spans="7:16" x14ac:dyDescent="0.3">
      <c r="G1843" t="s">
        <v>3496</v>
      </c>
      <c r="H1843" s="76" t="s">
        <v>399</v>
      </c>
      <c r="I1843" s="76" t="s">
        <v>400</v>
      </c>
      <c r="J1843" s="76" t="s">
        <v>372</v>
      </c>
      <c r="K1843" s="76" t="s">
        <v>3497</v>
      </c>
      <c r="L1843" s="76" t="s">
        <v>475</v>
      </c>
      <c r="M1843" s="76" t="s">
        <v>1194</v>
      </c>
      <c r="N1843" s="76">
        <v>250</v>
      </c>
      <c r="O1843" s="76">
        <v>220</v>
      </c>
      <c r="P1843" s="78">
        <v>0.12</v>
      </c>
    </row>
    <row r="1844" spans="7:16" x14ac:dyDescent="0.3">
      <c r="G1844" t="s">
        <v>3498</v>
      </c>
      <c r="H1844" s="76" t="s">
        <v>414</v>
      </c>
      <c r="I1844" s="76" t="s">
        <v>415</v>
      </c>
      <c r="J1844" s="76" t="s">
        <v>384</v>
      </c>
      <c r="K1844" s="77">
        <v>41885</v>
      </c>
      <c r="L1844" s="76" t="s">
        <v>405</v>
      </c>
      <c r="M1844" s="76" t="s">
        <v>1479</v>
      </c>
      <c r="N1844" s="76">
        <v>800</v>
      </c>
      <c r="O1844" s="76">
        <v>688</v>
      </c>
      <c r="P1844" s="78">
        <v>0.14000000000000001</v>
      </c>
    </row>
    <row r="1845" spans="7:16" x14ac:dyDescent="0.3">
      <c r="G1845" t="s">
        <v>3499</v>
      </c>
      <c r="H1845" s="76" t="s">
        <v>489</v>
      </c>
      <c r="I1845" s="76" t="s">
        <v>490</v>
      </c>
      <c r="J1845" s="76" t="s">
        <v>360</v>
      </c>
      <c r="K1845" s="76" t="s">
        <v>1569</v>
      </c>
      <c r="L1845" s="76" t="s">
        <v>424</v>
      </c>
      <c r="M1845" s="76" t="s">
        <v>627</v>
      </c>
      <c r="N1845" s="76">
        <v>500</v>
      </c>
      <c r="O1845" s="76">
        <v>490</v>
      </c>
      <c r="P1845" s="78">
        <v>0.02</v>
      </c>
    </row>
    <row r="1846" spans="7:16" x14ac:dyDescent="0.3">
      <c r="G1846" t="s">
        <v>3500</v>
      </c>
      <c r="H1846" s="76" t="s">
        <v>370</v>
      </c>
      <c r="I1846" s="76" t="s">
        <v>371</v>
      </c>
      <c r="J1846" s="76" t="s">
        <v>372</v>
      </c>
      <c r="K1846" s="77">
        <v>43168</v>
      </c>
      <c r="L1846" s="76" t="s">
        <v>379</v>
      </c>
      <c r="M1846" s="76" t="s">
        <v>1146</v>
      </c>
      <c r="N1846" s="76">
        <v>150</v>
      </c>
      <c r="O1846" s="76">
        <v>144</v>
      </c>
      <c r="P1846" s="78">
        <v>0.04</v>
      </c>
    </row>
    <row r="1847" spans="7:16" x14ac:dyDescent="0.3">
      <c r="G1847" t="s">
        <v>3501</v>
      </c>
      <c r="H1847" s="76" t="s">
        <v>524</v>
      </c>
      <c r="I1847" s="76" t="s">
        <v>465</v>
      </c>
      <c r="J1847" s="76" t="s">
        <v>366</v>
      </c>
      <c r="K1847" s="76" t="s">
        <v>1238</v>
      </c>
      <c r="L1847" s="76" t="s">
        <v>373</v>
      </c>
      <c r="M1847" s="76" t="s">
        <v>1655</v>
      </c>
      <c r="N1847" s="76">
        <v>700</v>
      </c>
      <c r="O1847" s="76">
        <v>525</v>
      </c>
      <c r="P1847" s="78">
        <v>0.25</v>
      </c>
    </row>
    <row r="1848" spans="7:16" x14ac:dyDescent="0.3">
      <c r="G1848" t="s">
        <v>3502</v>
      </c>
      <c r="H1848" s="76" t="s">
        <v>434</v>
      </c>
      <c r="I1848" s="76" t="s">
        <v>435</v>
      </c>
      <c r="J1848" s="76" t="s">
        <v>360</v>
      </c>
      <c r="K1848" s="76" t="s">
        <v>1184</v>
      </c>
      <c r="L1848" s="76" t="s">
        <v>424</v>
      </c>
      <c r="M1848" s="76" t="s">
        <v>1712</v>
      </c>
      <c r="N1848" s="76">
        <v>500</v>
      </c>
      <c r="O1848" s="76">
        <v>490</v>
      </c>
      <c r="P1848" s="78">
        <v>0.02</v>
      </c>
    </row>
    <row r="1849" spans="7:16" x14ac:dyDescent="0.3">
      <c r="G1849" t="s">
        <v>3503</v>
      </c>
      <c r="H1849" s="76" t="s">
        <v>656</v>
      </c>
      <c r="I1849" s="76" t="s">
        <v>657</v>
      </c>
      <c r="J1849" s="76" t="s">
        <v>360</v>
      </c>
      <c r="K1849" s="77">
        <v>42861</v>
      </c>
      <c r="L1849" s="76" t="s">
        <v>379</v>
      </c>
      <c r="M1849" s="76" t="s">
        <v>659</v>
      </c>
      <c r="N1849" s="76">
        <v>150</v>
      </c>
      <c r="O1849" s="76">
        <v>144</v>
      </c>
      <c r="P1849" s="78">
        <v>0.04</v>
      </c>
    </row>
    <row r="1850" spans="7:16" x14ac:dyDescent="0.3">
      <c r="G1850" t="s">
        <v>3504</v>
      </c>
      <c r="H1850" s="76" t="s">
        <v>409</v>
      </c>
      <c r="I1850" s="76" t="s">
        <v>410</v>
      </c>
      <c r="J1850" s="76" t="s">
        <v>360</v>
      </c>
      <c r="K1850" s="76" t="s">
        <v>3415</v>
      </c>
      <c r="L1850" s="76" t="s">
        <v>405</v>
      </c>
      <c r="M1850" s="76" t="s">
        <v>733</v>
      </c>
      <c r="N1850" s="76">
        <v>800</v>
      </c>
      <c r="O1850" s="76">
        <v>456</v>
      </c>
      <c r="P1850" s="78">
        <v>0.43</v>
      </c>
    </row>
    <row r="1851" spans="7:16" x14ac:dyDescent="0.3">
      <c r="G1851" t="s">
        <v>3505</v>
      </c>
      <c r="H1851" s="76" t="s">
        <v>438</v>
      </c>
      <c r="I1851" s="76" t="s">
        <v>439</v>
      </c>
      <c r="J1851" s="76" t="s">
        <v>360</v>
      </c>
      <c r="K1851" s="76" t="s">
        <v>2388</v>
      </c>
      <c r="L1851" s="76" t="s">
        <v>396</v>
      </c>
      <c r="M1851" s="76" t="s">
        <v>1980</v>
      </c>
      <c r="N1851" s="76">
        <v>500</v>
      </c>
      <c r="O1851" s="76">
        <v>465</v>
      </c>
      <c r="P1851" s="78">
        <v>7.0000000000000007E-2</v>
      </c>
    </row>
    <row r="1852" spans="7:16" x14ac:dyDescent="0.3">
      <c r="G1852" t="s">
        <v>3506</v>
      </c>
      <c r="H1852" s="76" t="s">
        <v>519</v>
      </c>
      <c r="I1852" s="76" t="s">
        <v>520</v>
      </c>
      <c r="J1852" s="76" t="s">
        <v>360</v>
      </c>
      <c r="K1852" s="76" t="s">
        <v>3507</v>
      </c>
      <c r="L1852" s="76" t="s">
        <v>424</v>
      </c>
      <c r="M1852" s="76" t="s">
        <v>1416</v>
      </c>
      <c r="N1852" s="76">
        <v>500</v>
      </c>
      <c r="O1852" s="76">
        <v>495</v>
      </c>
      <c r="P1852" s="78">
        <v>0.01</v>
      </c>
    </row>
    <row r="1853" spans="7:16" x14ac:dyDescent="0.3">
      <c r="G1853" t="s">
        <v>3508</v>
      </c>
      <c r="H1853" s="76" t="s">
        <v>358</v>
      </c>
      <c r="I1853" s="76" t="s">
        <v>359</v>
      </c>
      <c r="J1853" s="76" t="s">
        <v>360</v>
      </c>
      <c r="K1853" s="76" t="s">
        <v>857</v>
      </c>
      <c r="L1853" s="76" t="s">
        <v>385</v>
      </c>
      <c r="M1853" s="76" t="s">
        <v>683</v>
      </c>
      <c r="N1853" s="76">
        <v>50</v>
      </c>
      <c r="O1853" s="76">
        <v>49</v>
      </c>
      <c r="P1853" s="78">
        <v>0.02</v>
      </c>
    </row>
    <row r="1854" spans="7:16" x14ac:dyDescent="0.3">
      <c r="G1854" t="s">
        <v>3509</v>
      </c>
      <c r="H1854" s="76" t="s">
        <v>3165</v>
      </c>
      <c r="I1854" s="76" t="s">
        <v>365</v>
      </c>
      <c r="J1854" s="76" t="s">
        <v>366</v>
      </c>
      <c r="K1854" s="76" t="s">
        <v>3510</v>
      </c>
      <c r="L1854" s="76" t="s">
        <v>361</v>
      </c>
      <c r="M1854" s="76" t="s">
        <v>3511</v>
      </c>
      <c r="N1854" s="76">
        <v>80</v>
      </c>
      <c r="O1854" s="76">
        <v>78</v>
      </c>
      <c r="P1854" s="78">
        <v>2.5000000000000001E-2</v>
      </c>
    </row>
    <row r="1855" spans="7:16" x14ac:dyDescent="0.3">
      <c r="G1855" t="s">
        <v>3512</v>
      </c>
      <c r="H1855" s="76" t="s">
        <v>591</v>
      </c>
      <c r="I1855" s="76" t="s">
        <v>592</v>
      </c>
      <c r="J1855" s="76" t="s">
        <v>372</v>
      </c>
      <c r="K1855" s="77">
        <v>41799</v>
      </c>
      <c r="L1855" s="76" t="s">
        <v>461</v>
      </c>
      <c r="M1855" s="76" t="s">
        <v>1112</v>
      </c>
      <c r="N1855" s="76">
        <v>70</v>
      </c>
      <c r="O1855" s="76">
        <v>52</v>
      </c>
      <c r="P1855" s="78">
        <v>0.2571</v>
      </c>
    </row>
    <row r="1856" spans="7:16" x14ac:dyDescent="0.3">
      <c r="G1856" t="s">
        <v>3513</v>
      </c>
      <c r="H1856" s="76" t="s">
        <v>675</v>
      </c>
      <c r="I1856" s="76" t="s">
        <v>676</v>
      </c>
      <c r="J1856" s="76" t="s">
        <v>384</v>
      </c>
      <c r="K1856" s="76" t="s">
        <v>3514</v>
      </c>
      <c r="L1856" s="76" t="s">
        <v>379</v>
      </c>
      <c r="M1856" s="76" t="s">
        <v>1268</v>
      </c>
      <c r="N1856" s="76">
        <v>150</v>
      </c>
      <c r="O1856" s="76">
        <v>144</v>
      </c>
      <c r="P1856" s="78">
        <v>0.04</v>
      </c>
    </row>
    <row r="1857" spans="7:16" x14ac:dyDescent="0.3">
      <c r="G1857" t="s">
        <v>3515</v>
      </c>
      <c r="H1857" s="76" t="s">
        <v>438</v>
      </c>
      <c r="I1857" s="76" t="s">
        <v>439</v>
      </c>
      <c r="J1857" s="76" t="s">
        <v>360</v>
      </c>
      <c r="K1857" s="77">
        <v>42593</v>
      </c>
      <c r="L1857" s="76" t="s">
        <v>411</v>
      </c>
      <c r="M1857" s="76" t="s">
        <v>440</v>
      </c>
      <c r="N1857" s="76">
        <v>1000</v>
      </c>
      <c r="O1857" s="76">
        <v>560</v>
      </c>
      <c r="P1857" s="78">
        <v>0.44</v>
      </c>
    </row>
    <row r="1858" spans="7:16" x14ac:dyDescent="0.3">
      <c r="G1858" t="s">
        <v>3516</v>
      </c>
      <c r="H1858" s="76" t="s">
        <v>747</v>
      </c>
      <c r="I1858" s="76" t="s">
        <v>748</v>
      </c>
      <c r="J1858" s="76" t="s">
        <v>360</v>
      </c>
      <c r="K1858" s="76" t="s">
        <v>3322</v>
      </c>
      <c r="L1858" s="76" t="s">
        <v>396</v>
      </c>
      <c r="M1858" s="76" t="s">
        <v>917</v>
      </c>
      <c r="N1858" s="76">
        <v>500</v>
      </c>
      <c r="O1858" s="76">
        <v>490</v>
      </c>
      <c r="P1858" s="78">
        <v>0.02</v>
      </c>
    </row>
    <row r="1859" spans="7:16" x14ac:dyDescent="0.3">
      <c r="G1859" t="s">
        <v>3517</v>
      </c>
      <c r="H1859" s="76" t="s">
        <v>459</v>
      </c>
      <c r="I1859" s="76" t="s">
        <v>422</v>
      </c>
      <c r="J1859" s="76" t="s">
        <v>384</v>
      </c>
      <c r="K1859" s="76" t="s">
        <v>1991</v>
      </c>
      <c r="L1859" s="76" t="s">
        <v>361</v>
      </c>
      <c r="M1859" s="76" t="s">
        <v>1283</v>
      </c>
      <c r="N1859" s="76">
        <v>80</v>
      </c>
      <c r="O1859" s="76">
        <v>76</v>
      </c>
      <c r="P1859" s="78">
        <v>0.05</v>
      </c>
    </row>
    <row r="1860" spans="7:16" x14ac:dyDescent="0.3">
      <c r="G1860" t="s">
        <v>3518</v>
      </c>
      <c r="H1860" s="76" t="s">
        <v>638</v>
      </c>
      <c r="I1860" s="76" t="s">
        <v>639</v>
      </c>
      <c r="J1860" s="76" t="s">
        <v>360</v>
      </c>
      <c r="K1860" s="76" t="s">
        <v>2009</v>
      </c>
      <c r="L1860" s="76" t="s">
        <v>483</v>
      </c>
      <c r="M1860" s="76" t="s">
        <v>1148</v>
      </c>
      <c r="N1860" s="76">
        <v>50</v>
      </c>
      <c r="O1860" s="76">
        <v>45</v>
      </c>
      <c r="P1860" s="78">
        <v>0.1</v>
      </c>
    </row>
    <row r="1861" spans="7:16" x14ac:dyDescent="0.3">
      <c r="G1861" t="s">
        <v>3519</v>
      </c>
      <c r="H1861" s="76" t="s">
        <v>454</v>
      </c>
      <c r="I1861" s="76" t="s">
        <v>455</v>
      </c>
      <c r="J1861" s="76" t="s">
        <v>360</v>
      </c>
      <c r="K1861" s="76" t="s">
        <v>3520</v>
      </c>
      <c r="L1861" s="76" t="s">
        <v>373</v>
      </c>
      <c r="M1861" s="76" t="s">
        <v>1577</v>
      </c>
      <c r="N1861" s="76">
        <v>700</v>
      </c>
      <c r="O1861" s="76">
        <v>630</v>
      </c>
      <c r="P1861" s="78">
        <v>0.1</v>
      </c>
    </row>
    <row r="1862" spans="7:16" x14ac:dyDescent="0.3">
      <c r="G1862" t="s">
        <v>3521</v>
      </c>
      <c r="H1862" s="76" t="s">
        <v>494</v>
      </c>
      <c r="I1862" s="76" t="s">
        <v>465</v>
      </c>
      <c r="J1862" s="76" t="s">
        <v>366</v>
      </c>
      <c r="K1862" s="77">
        <v>43192</v>
      </c>
      <c r="L1862" s="76" t="s">
        <v>385</v>
      </c>
      <c r="M1862" s="76" t="s">
        <v>1041</v>
      </c>
      <c r="N1862" s="76">
        <v>50</v>
      </c>
      <c r="O1862" s="76">
        <v>45</v>
      </c>
      <c r="P1862" s="78">
        <v>0.1</v>
      </c>
    </row>
    <row r="1863" spans="7:16" x14ac:dyDescent="0.3">
      <c r="G1863" t="s">
        <v>3522</v>
      </c>
      <c r="H1863" s="76" t="s">
        <v>547</v>
      </c>
      <c r="I1863" s="76" t="s">
        <v>548</v>
      </c>
      <c r="J1863" s="76" t="s">
        <v>360</v>
      </c>
      <c r="K1863" s="76" t="s">
        <v>1848</v>
      </c>
      <c r="L1863" s="76" t="s">
        <v>424</v>
      </c>
      <c r="M1863" s="76" t="s">
        <v>680</v>
      </c>
      <c r="N1863" s="76">
        <v>500</v>
      </c>
      <c r="O1863" s="76">
        <v>500</v>
      </c>
      <c r="P1863" s="78">
        <v>0</v>
      </c>
    </row>
    <row r="1864" spans="7:16" x14ac:dyDescent="0.3">
      <c r="G1864" t="s">
        <v>3523</v>
      </c>
      <c r="H1864" s="76" t="s">
        <v>464</v>
      </c>
      <c r="I1864" s="76" t="s">
        <v>465</v>
      </c>
      <c r="J1864" s="76" t="s">
        <v>366</v>
      </c>
      <c r="K1864" s="76" t="s">
        <v>588</v>
      </c>
      <c r="L1864" s="76" t="s">
        <v>385</v>
      </c>
      <c r="M1864" s="76" t="s">
        <v>1575</v>
      </c>
      <c r="N1864" s="76">
        <v>50</v>
      </c>
      <c r="O1864" s="76">
        <v>46</v>
      </c>
      <c r="P1864" s="78">
        <v>0.08</v>
      </c>
    </row>
    <row r="1865" spans="7:16" x14ac:dyDescent="0.3">
      <c r="G1865" t="s">
        <v>3524</v>
      </c>
      <c r="H1865" s="76" t="s">
        <v>414</v>
      </c>
      <c r="I1865" s="76" t="s">
        <v>415</v>
      </c>
      <c r="J1865" s="76" t="s">
        <v>384</v>
      </c>
      <c r="K1865" s="76" t="s">
        <v>3417</v>
      </c>
      <c r="L1865" s="76" t="s">
        <v>424</v>
      </c>
      <c r="M1865" s="76" t="s">
        <v>3525</v>
      </c>
      <c r="N1865" s="76">
        <v>500</v>
      </c>
      <c r="O1865" s="76">
        <v>490</v>
      </c>
      <c r="P1865" s="78">
        <v>0.02</v>
      </c>
    </row>
    <row r="1866" spans="7:16" x14ac:dyDescent="0.3">
      <c r="G1866" t="s">
        <v>3526</v>
      </c>
      <c r="H1866" s="76" t="s">
        <v>700</v>
      </c>
      <c r="I1866" s="76" t="s">
        <v>465</v>
      </c>
      <c r="J1866" s="76" t="s">
        <v>366</v>
      </c>
      <c r="K1866" s="77">
        <v>41852</v>
      </c>
      <c r="L1866" s="76" t="s">
        <v>373</v>
      </c>
      <c r="M1866" s="76" t="s">
        <v>1821</v>
      </c>
      <c r="N1866" s="76">
        <v>700</v>
      </c>
      <c r="O1866" s="76">
        <v>686</v>
      </c>
      <c r="P1866" s="78">
        <v>0.02</v>
      </c>
    </row>
    <row r="1867" spans="7:16" x14ac:dyDescent="0.3">
      <c r="G1867" t="s">
        <v>3527</v>
      </c>
      <c r="H1867" s="76" t="s">
        <v>524</v>
      </c>
      <c r="I1867" s="76" t="s">
        <v>465</v>
      </c>
      <c r="J1867" s="76" t="s">
        <v>366</v>
      </c>
      <c r="K1867" s="76" t="s">
        <v>3528</v>
      </c>
      <c r="L1867" s="76" t="s">
        <v>391</v>
      </c>
      <c r="M1867" s="76" t="s">
        <v>2038</v>
      </c>
      <c r="N1867" s="76">
        <v>30</v>
      </c>
      <c r="O1867" s="76">
        <v>25</v>
      </c>
      <c r="P1867" s="78">
        <v>0.16669999999999999</v>
      </c>
    </row>
    <row r="1868" spans="7:16" x14ac:dyDescent="0.3">
      <c r="G1868" t="s">
        <v>3529</v>
      </c>
      <c r="H1868" s="76" t="s">
        <v>528</v>
      </c>
      <c r="I1868" s="76" t="s">
        <v>465</v>
      </c>
      <c r="J1868" s="76" t="s">
        <v>366</v>
      </c>
      <c r="K1868" s="76" t="s">
        <v>3530</v>
      </c>
      <c r="L1868" s="76" t="s">
        <v>411</v>
      </c>
      <c r="M1868" s="76" t="s">
        <v>530</v>
      </c>
      <c r="N1868" s="76">
        <v>1000</v>
      </c>
      <c r="O1868" s="76">
        <v>600</v>
      </c>
      <c r="P1868" s="78">
        <v>0.4</v>
      </c>
    </row>
    <row r="1869" spans="7:16" x14ac:dyDescent="0.3">
      <c r="G1869" t="s">
        <v>3531</v>
      </c>
      <c r="H1869" s="76" t="s">
        <v>611</v>
      </c>
      <c r="I1869" s="76" t="s">
        <v>389</v>
      </c>
      <c r="J1869" s="76" t="s">
        <v>384</v>
      </c>
      <c r="K1869" s="76" t="s">
        <v>2359</v>
      </c>
      <c r="L1869" s="76" t="s">
        <v>461</v>
      </c>
      <c r="M1869" s="76" t="s">
        <v>3474</v>
      </c>
      <c r="N1869" s="76">
        <v>70</v>
      </c>
      <c r="O1869" s="76">
        <v>63</v>
      </c>
      <c r="P1869" s="78">
        <v>0.1</v>
      </c>
    </row>
    <row r="1870" spans="7:16" x14ac:dyDescent="0.3">
      <c r="G1870" t="s">
        <v>3532</v>
      </c>
      <c r="H1870" s="76" t="s">
        <v>409</v>
      </c>
      <c r="I1870" s="76" t="s">
        <v>410</v>
      </c>
      <c r="J1870" s="76" t="s">
        <v>360</v>
      </c>
      <c r="K1870" s="77">
        <v>41891</v>
      </c>
      <c r="L1870" s="76" t="s">
        <v>475</v>
      </c>
      <c r="M1870" s="76" t="s">
        <v>2666</v>
      </c>
      <c r="N1870" s="76">
        <v>250</v>
      </c>
      <c r="O1870" s="76">
        <v>245</v>
      </c>
      <c r="P1870" s="78">
        <v>0.02</v>
      </c>
    </row>
    <row r="1871" spans="7:16" x14ac:dyDescent="0.3">
      <c r="G1871" t="s">
        <v>3533</v>
      </c>
      <c r="H1871" s="76" t="s">
        <v>497</v>
      </c>
      <c r="I1871" s="76" t="s">
        <v>445</v>
      </c>
      <c r="J1871" s="76" t="s">
        <v>384</v>
      </c>
      <c r="K1871" s="76" t="s">
        <v>2347</v>
      </c>
      <c r="L1871" s="76" t="s">
        <v>361</v>
      </c>
      <c r="M1871" s="76" t="s">
        <v>499</v>
      </c>
      <c r="N1871" s="76">
        <v>80</v>
      </c>
      <c r="O1871" s="76">
        <v>74</v>
      </c>
      <c r="P1871" s="78">
        <v>7.4999999999999997E-2</v>
      </c>
    </row>
    <row r="1872" spans="7:16" x14ac:dyDescent="0.3">
      <c r="G1872" t="s">
        <v>3534</v>
      </c>
      <c r="H1872" s="76" t="s">
        <v>438</v>
      </c>
      <c r="I1872" s="76" t="s">
        <v>439</v>
      </c>
      <c r="J1872" s="76" t="s">
        <v>360</v>
      </c>
      <c r="K1872" s="77">
        <v>42743</v>
      </c>
      <c r="L1872" s="76" t="s">
        <v>396</v>
      </c>
      <c r="M1872" s="76" t="s">
        <v>1980</v>
      </c>
      <c r="N1872" s="76">
        <v>500</v>
      </c>
      <c r="O1872" s="76">
        <v>465</v>
      </c>
      <c r="P1872" s="78">
        <v>7.0000000000000007E-2</v>
      </c>
    </row>
    <row r="1873" spans="7:16" x14ac:dyDescent="0.3">
      <c r="G1873" t="s">
        <v>3535</v>
      </c>
      <c r="H1873" s="76" t="s">
        <v>454</v>
      </c>
      <c r="I1873" s="76" t="s">
        <v>455</v>
      </c>
      <c r="J1873" s="76" t="s">
        <v>360</v>
      </c>
      <c r="K1873" s="76" t="s">
        <v>1768</v>
      </c>
      <c r="L1873" s="76" t="s">
        <v>379</v>
      </c>
      <c r="M1873" s="76" t="s">
        <v>1577</v>
      </c>
      <c r="N1873" s="76">
        <v>150</v>
      </c>
      <c r="O1873" s="76">
        <v>110</v>
      </c>
      <c r="P1873" s="78">
        <v>0.26669999999999999</v>
      </c>
    </row>
    <row r="1874" spans="7:16" x14ac:dyDescent="0.3">
      <c r="G1874" t="s">
        <v>3536</v>
      </c>
      <c r="H1874" s="76" t="s">
        <v>668</v>
      </c>
      <c r="I1874" s="76" t="s">
        <v>669</v>
      </c>
      <c r="J1874" s="76" t="s">
        <v>360</v>
      </c>
      <c r="K1874" s="76" t="s">
        <v>2245</v>
      </c>
      <c r="L1874" s="76" t="s">
        <v>424</v>
      </c>
      <c r="M1874" s="76" t="s">
        <v>728</v>
      </c>
      <c r="N1874" s="76">
        <v>500</v>
      </c>
      <c r="O1874" s="76">
        <v>500</v>
      </c>
      <c r="P1874" s="78">
        <v>0</v>
      </c>
    </row>
    <row r="1875" spans="7:16" x14ac:dyDescent="0.3">
      <c r="G1875" t="s">
        <v>3537</v>
      </c>
      <c r="H1875" s="76" t="s">
        <v>524</v>
      </c>
      <c r="I1875" s="76" t="s">
        <v>465</v>
      </c>
      <c r="J1875" s="76" t="s">
        <v>366</v>
      </c>
      <c r="K1875" s="77">
        <v>42461</v>
      </c>
      <c r="L1875" s="76" t="s">
        <v>373</v>
      </c>
      <c r="M1875" s="76" t="s">
        <v>2038</v>
      </c>
      <c r="N1875" s="76">
        <v>700</v>
      </c>
      <c r="O1875" s="76">
        <v>700</v>
      </c>
      <c r="P1875" s="78">
        <v>0</v>
      </c>
    </row>
    <row r="1876" spans="7:16" x14ac:dyDescent="0.3">
      <c r="G1876" t="s">
        <v>3538</v>
      </c>
      <c r="H1876" s="76" t="s">
        <v>514</v>
      </c>
      <c r="I1876" s="76" t="s">
        <v>515</v>
      </c>
      <c r="J1876" s="76" t="s">
        <v>360</v>
      </c>
      <c r="K1876" s="77">
        <v>43257</v>
      </c>
      <c r="L1876" s="76" t="s">
        <v>483</v>
      </c>
      <c r="M1876" s="76" t="s">
        <v>792</v>
      </c>
      <c r="N1876" s="76">
        <v>50</v>
      </c>
      <c r="O1876" s="76">
        <v>50</v>
      </c>
      <c r="P1876" s="78">
        <v>0</v>
      </c>
    </row>
    <row r="1877" spans="7:16" x14ac:dyDescent="0.3">
      <c r="G1877" t="s">
        <v>3539</v>
      </c>
      <c r="H1877" s="76" t="s">
        <v>611</v>
      </c>
      <c r="I1877" s="76" t="s">
        <v>389</v>
      </c>
      <c r="J1877" s="76" t="s">
        <v>384</v>
      </c>
      <c r="K1877" s="77">
        <v>41736</v>
      </c>
      <c r="L1877" s="76" t="s">
        <v>424</v>
      </c>
      <c r="M1877" s="76" t="s">
        <v>2851</v>
      </c>
      <c r="N1877" s="76">
        <v>500</v>
      </c>
      <c r="O1877" s="76">
        <v>490</v>
      </c>
      <c r="P1877" s="78">
        <v>0.02</v>
      </c>
    </row>
    <row r="1878" spans="7:16" x14ac:dyDescent="0.3">
      <c r="G1878" t="s">
        <v>3540</v>
      </c>
      <c r="H1878" s="76" t="s">
        <v>376</v>
      </c>
      <c r="I1878" s="76" t="s">
        <v>377</v>
      </c>
      <c r="J1878" s="76" t="s">
        <v>360</v>
      </c>
      <c r="K1878" s="77">
        <v>42379</v>
      </c>
      <c r="L1878" s="76" t="s">
        <v>411</v>
      </c>
      <c r="M1878" s="76" t="s">
        <v>841</v>
      </c>
      <c r="N1878" s="76">
        <v>1000</v>
      </c>
      <c r="O1878" s="76">
        <v>920</v>
      </c>
      <c r="P1878" s="78">
        <v>0.08</v>
      </c>
    </row>
    <row r="1879" spans="7:16" x14ac:dyDescent="0.3">
      <c r="G1879" t="s">
        <v>3541</v>
      </c>
      <c r="H1879" s="76" t="s">
        <v>438</v>
      </c>
      <c r="I1879" s="76" t="s">
        <v>439</v>
      </c>
      <c r="J1879" s="76" t="s">
        <v>360</v>
      </c>
      <c r="K1879" s="76" t="s">
        <v>3107</v>
      </c>
      <c r="L1879" s="76" t="s">
        <v>424</v>
      </c>
      <c r="M1879" s="76" t="s">
        <v>542</v>
      </c>
      <c r="N1879" s="76">
        <v>500</v>
      </c>
      <c r="O1879" s="76">
        <v>500</v>
      </c>
      <c r="P1879" s="78">
        <v>0</v>
      </c>
    </row>
    <row r="1880" spans="7:16" x14ac:dyDescent="0.3">
      <c r="G1880" t="s">
        <v>3542</v>
      </c>
      <c r="H1880" s="76" t="s">
        <v>845</v>
      </c>
      <c r="I1880" s="76" t="s">
        <v>846</v>
      </c>
      <c r="J1880" s="76" t="s">
        <v>360</v>
      </c>
      <c r="K1880" s="77">
        <v>42897</v>
      </c>
      <c r="L1880" s="76" t="s">
        <v>391</v>
      </c>
      <c r="M1880" s="76" t="s">
        <v>2025</v>
      </c>
      <c r="N1880" s="76">
        <v>30</v>
      </c>
      <c r="O1880" s="76">
        <v>30</v>
      </c>
      <c r="P1880" s="78">
        <v>0</v>
      </c>
    </row>
    <row r="1881" spans="7:16" x14ac:dyDescent="0.3">
      <c r="G1881" t="s">
        <v>3543</v>
      </c>
      <c r="H1881" s="76" t="s">
        <v>449</v>
      </c>
      <c r="I1881" s="76" t="s">
        <v>450</v>
      </c>
      <c r="J1881" s="76" t="s">
        <v>360</v>
      </c>
      <c r="K1881" s="77">
        <v>42380</v>
      </c>
      <c r="L1881" s="76" t="s">
        <v>361</v>
      </c>
      <c r="M1881" s="76" t="s">
        <v>3544</v>
      </c>
      <c r="N1881" s="76">
        <v>80</v>
      </c>
      <c r="O1881" s="76">
        <v>77</v>
      </c>
      <c r="P1881" s="78">
        <v>3.7499999999999999E-2</v>
      </c>
    </row>
    <row r="1882" spans="7:16" x14ac:dyDescent="0.3">
      <c r="G1882" t="s">
        <v>3545</v>
      </c>
      <c r="H1882" s="76" t="s">
        <v>473</v>
      </c>
      <c r="I1882" s="76" t="s">
        <v>404</v>
      </c>
      <c r="J1882" s="76" t="s">
        <v>360</v>
      </c>
      <c r="K1882" s="76" t="s">
        <v>3546</v>
      </c>
      <c r="L1882" s="76" t="s">
        <v>411</v>
      </c>
      <c r="M1882" s="76" t="s">
        <v>802</v>
      </c>
      <c r="N1882" s="76">
        <v>1000</v>
      </c>
      <c r="O1882" s="76">
        <v>920</v>
      </c>
      <c r="P1882" s="78">
        <v>0.08</v>
      </c>
    </row>
    <row r="1883" spans="7:16" x14ac:dyDescent="0.3">
      <c r="G1883" t="s">
        <v>3547</v>
      </c>
      <c r="H1883" s="76" t="s">
        <v>638</v>
      </c>
      <c r="I1883" s="76" t="s">
        <v>639</v>
      </c>
      <c r="J1883" s="76" t="s">
        <v>360</v>
      </c>
      <c r="K1883" s="76" t="s">
        <v>2257</v>
      </c>
      <c r="L1883" s="76" t="s">
        <v>361</v>
      </c>
      <c r="M1883" s="76" t="s">
        <v>641</v>
      </c>
      <c r="N1883" s="76">
        <v>80</v>
      </c>
      <c r="O1883" s="76">
        <v>76</v>
      </c>
      <c r="P1883" s="78">
        <v>0.05</v>
      </c>
    </row>
    <row r="1884" spans="7:16" x14ac:dyDescent="0.3">
      <c r="G1884" t="s">
        <v>3548</v>
      </c>
      <c r="H1884" s="76" t="s">
        <v>444</v>
      </c>
      <c r="I1884" s="76" t="s">
        <v>445</v>
      </c>
      <c r="J1884" s="76" t="s">
        <v>384</v>
      </c>
      <c r="K1884" s="77">
        <v>42625</v>
      </c>
      <c r="L1884" s="76" t="s">
        <v>411</v>
      </c>
      <c r="M1884" s="76" t="s">
        <v>990</v>
      </c>
      <c r="N1884" s="76">
        <v>1000</v>
      </c>
      <c r="O1884" s="76">
        <v>740</v>
      </c>
      <c r="P1884" s="78">
        <v>0.26</v>
      </c>
    </row>
    <row r="1885" spans="7:16" x14ac:dyDescent="0.3">
      <c r="G1885" t="s">
        <v>3549</v>
      </c>
      <c r="H1885" s="76" t="s">
        <v>382</v>
      </c>
      <c r="I1885" s="76" t="s">
        <v>383</v>
      </c>
      <c r="J1885" s="76" t="s">
        <v>384</v>
      </c>
      <c r="K1885" s="76" t="s">
        <v>2739</v>
      </c>
      <c r="L1885" s="76" t="s">
        <v>361</v>
      </c>
      <c r="M1885" s="76" t="s">
        <v>915</v>
      </c>
      <c r="N1885" s="76">
        <v>80</v>
      </c>
      <c r="O1885" s="76">
        <v>80</v>
      </c>
      <c r="P1885" s="78">
        <v>0</v>
      </c>
    </row>
    <row r="1886" spans="7:16" x14ac:dyDescent="0.3">
      <c r="G1886" t="s">
        <v>3550</v>
      </c>
      <c r="H1886" s="76" t="s">
        <v>473</v>
      </c>
      <c r="I1886" s="76" t="s">
        <v>404</v>
      </c>
      <c r="J1886" s="76" t="s">
        <v>360</v>
      </c>
      <c r="K1886" s="76" t="s">
        <v>2350</v>
      </c>
      <c r="L1886" s="76" t="s">
        <v>361</v>
      </c>
      <c r="M1886" s="76" t="s">
        <v>1496</v>
      </c>
      <c r="N1886" s="76">
        <v>80</v>
      </c>
      <c r="O1886" s="76">
        <v>61</v>
      </c>
      <c r="P1886" s="78">
        <v>0.23749999999999999</v>
      </c>
    </row>
    <row r="1887" spans="7:16" x14ac:dyDescent="0.3">
      <c r="G1887" t="s">
        <v>3551</v>
      </c>
      <c r="H1887" s="76" t="s">
        <v>434</v>
      </c>
      <c r="I1887" s="76" t="s">
        <v>435</v>
      </c>
      <c r="J1887" s="76" t="s">
        <v>360</v>
      </c>
      <c r="K1887" s="77">
        <v>42105</v>
      </c>
      <c r="L1887" s="76" t="s">
        <v>411</v>
      </c>
      <c r="M1887" s="76" t="s">
        <v>1955</v>
      </c>
      <c r="N1887" s="76">
        <v>1000</v>
      </c>
      <c r="O1887" s="76">
        <v>610</v>
      </c>
      <c r="P1887" s="78">
        <v>0.39</v>
      </c>
    </row>
    <row r="1888" spans="7:16" x14ac:dyDescent="0.3">
      <c r="G1888" t="s">
        <v>3552</v>
      </c>
      <c r="H1888" s="76" t="s">
        <v>459</v>
      </c>
      <c r="I1888" s="76" t="s">
        <v>422</v>
      </c>
      <c r="J1888" s="76" t="s">
        <v>384</v>
      </c>
      <c r="K1888" s="77">
        <v>42585</v>
      </c>
      <c r="L1888" s="76" t="s">
        <v>391</v>
      </c>
      <c r="M1888" s="76" t="s">
        <v>572</v>
      </c>
      <c r="N1888" s="76">
        <v>30</v>
      </c>
      <c r="O1888" s="76">
        <v>30</v>
      </c>
      <c r="P1888" s="78">
        <v>0</v>
      </c>
    </row>
    <row r="1889" spans="7:16" x14ac:dyDescent="0.3">
      <c r="G1889" t="s">
        <v>3553</v>
      </c>
      <c r="H1889" s="76" t="s">
        <v>528</v>
      </c>
      <c r="I1889" s="76" t="s">
        <v>465</v>
      </c>
      <c r="J1889" s="76" t="s">
        <v>366</v>
      </c>
      <c r="K1889" s="77">
        <v>41770</v>
      </c>
      <c r="L1889" s="76" t="s">
        <v>396</v>
      </c>
      <c r="M1889" s="76" t="s">
        <v>1678</v>
      </c>
      <c r="N1889" s="76">
        <v>500</v>
      </c>
      <c r="O1889" s="76">
        <v>390</v>
      </c>
      <c r="P1889" s="78">
        <v>0.22</v>
      </c>
    </row>
    <row r="1890" spans="7:16" x14ac:dyDescent="0.3">
      <c r="G1890" t="s">
        <v>3554</v>
      </c>
      <c r="H1890" s="76" t="s">
        <v>485</v>
      </c>
      <c r="I1890" s="76" t="s">
        <v>389</v>
      </c>
      <c r="J1890" s="76" t="s">
        <v>384</v>
      </c>
      <c r="K1890" s="77">
        <v>42372</v>
      </c>
      <c r="L1890" s="76" t="s">
        <v>361</v>
      </c>
      <c r="M1890" s="76" t="s">
        <v>3555</v>
      </c>
      <c r="N1890" s="76">
        <v>80</v>
      </c>
      <c r="O1890" s="76">
        <v>70</v>
      </c>
      <c r="P1890" s="78">
        <v>0.125</v>
      </c>
    </row>
    <row r="1891" spans="7:16" x14ac:dyDescent="0.3">
      <c r="G1891" t="s">
        <v>3556</v>
      </c>
      <c r="H1891" s="76" t="s">
        <v>519</v>
      </c>
      <c r="I1891" s="76" t="s">
        <v>520</v>
      </c>
      <c r="J1891" s="76" t="s">
        <v>360</v>
      </c>
      <c r="K1891" s="77">
        <v>41796</v>
      </c>
      <c r="L1891" s="76" t="s">
        <v>396</v>
      </c>
      <c r="M1891" s="76" t="s">
        <v>726</v>
      </c>
      <c r="N1891" s="76">
        <v>500</v>
      </c>
      <c r="O1891" s="76">
        <v>420</v>
      </c>
      <c r="P1891" s="78">
        <v>0.16</v>
      </c>
    </row>
    <row r="1892" spans="7:16" x14ac:dyDescent="0.3">
      <c r="G1892" t="s">
        <v>3557</v>
      </c>
      <c r="H1892" s="76" t="s">
        <v>449</v>
      </c>
      <c r="I1892" s="76" t="s">
        <v>450</v>
      </c>
      <c r="J1892" s="76" t="s">
        <v>360</v>
      </c>
      <c r="K1892" s="77">
        <v>42865</v>
      </c>
      <c r="L1892" s="76" t="s">
        <v>461</v>
      </c>
      <c r="M1892" s="76" t="s">
        <v>2019</v>
      </c>
      <c r="N1892" s="76">
        <v>70</v>
      </c>
      <c r="O1892" s="76">
        <v>63</v>
      </c>
      <c r="P1892" s="78">
        <v>0.1</v>
      </c>
    </row>
    <row r="1893" spans="7:16" x14ac:dyDescent="0.3">
      <c r="G1893" t="s">
        <v>3558</v>
      </c>
      <c r="H1893" s="76" t="s">
        <v>611</v>
      </c>
      <c r="I1893" s="76" t="s">
        <v>389</v>
      </c>
      <c r="J1893" s="76" t="s">
        <v>384</v>
      </c>
      <c r="K1893" s="76" t="s">
        <v>840</v>
      </c>
      <c r="L1893" s="76" t="s">
        <v>361</v>
      </c>
      <c r="M1893" s="76" t="s">
        <v>666</v>
      </c>
      <c r="N1893" s="76">
        <v>80</v>
      </c>
      <c r="O1893" s="76">
        <v>62</v>
      </c>
      <c r="P1893" s="78">
        <v>0.22500000000000001</v>
      </c>
    </row>
    <row r="1894" spans="7:16" x14ac:dyDescent="0.3">
      <c r="G1894" t="s">
        <v>3559</v>
      </c>
      <c r="H1894" s="76" t="s">
        <v>469</v>
      </c>
      <c r="I1894" s="76" t="s">
        <v>435</v>
      </c>
      <c r="J1894" s="76" t="s">
        <v>360</v>
      </c>
      <c r="K1894" s="77">
        <v>41951</v>
      </c>
      <c r="L1894" s="76" t="s">
        <v>483</v>
      </c>
      <c r="M1894" s="76" t="s">
        <v>1419</v>
      </c>
      <c r="N1894" s="76">
        <v>50</v>
      </c>
      <c r="O1894" s="76">
        <v>49</v>
      </c>
      <c r="P1894" s="78">
        <v>0.02</v>
      </c>
    </row>
    <row r="1895" spans="7:16" x14ac:dyDescent="0.3">
      <c r="G1895" t="s">
        <v>3560</v>
      </c>
      <c r="H1895" s="76" t="s">
        <v>473</v>
      </c>
      <c r="I1895" s="76" t="s">
        <v>404</v>
      </c>
      <c r="J1895" s="76" t="s">
        <v>360</v>
      </c>
      <c r="K1895" s="76" t="s">
        <v>1020</v>
      </c>
      <c r="L1895" s="76" t="s">
        <v>405</v>
      </c>
      <c r="M1895" s="76" t="s">
        <v>545</v>
      </c>
      <c r="N1895" s="76">
        <v>800</v>
      </c>
      <c r="O1895" s="76">
        <v>592</v>
      </c>
      <c r="P1895" s="78">
        <v>0.26</v>
      </c>
    </row>
    <row r="1896" spans="7:16" x14ac:dyDescent="0.3">
      <c r="G1896" t="s">
        <v>3561</v>
      </c>
      <c r="H1896" s="76" t="s">
        <v>611</v>
      </c>
      <c r="I1896" s="76" t="s">
        <v>389</v>
      </c>
      <c r="J1896" s="76" t="s">
        <v>384</v>
      </c>
      <c r="K1896" s="77">
        <v>42501</v>
      </c>
      <c r="L1896" s="76" t="s">
        <v>379</v>
      </c>
      <c r="M1896" s="76" t="s">
        <v>1729</v>
      </c>
      <c r="N1896" s="76">
        <v>150</v>
      </c>
      <c r="O1896" s="76">
        <v>149</v>
      </c>
      <c r="P1896" s="78">
        <v>6.7000000000000002E-3</v>
      </c>
    </row>
    <row r="1897" spans="7:16" x14ac:dyDescent="0.3">
      <c r="G1897" t="s">
        <v>3562</v>
      </c>
      <c r="H1897" s="76" t="s">
        <v>619</v>
      </c>
      <c r="I1897" s="76" t="s">
        <v>620</v>
      </c>
      <c r="J1897" s="76" t="s">
        <v>372</v>
      </c>
      <c r="K1897" s="77">
        <v>42681</v>
      </c>
      <c r="L1897" s="76" t="s">
        <v>411</v>
      </c>
      <c r="M1897" s="76" t="s">
        <v>1627</v>
      </c>
      <c r="N1897" s="76">
        <v>1000</v>
      </c>
      <c r="O1897" s="76">
        <v>900</v>
      </c>
      <c r="P1897" s="78">
        <v>0.1</v>
      </c>
    </row>
    <row r="1898" spans="7:16" x14ac:dyDescent="0.3">
      <c r="G1898" t="s">
        <v>3563</v>
      </c>
      <c r="H1898" s="76" t="s">
        <v>364</v>
      </c>
      <c r="I1898" s="76" t="s">
        <v>365</v>
      </c>
      <c r="J1898" s="76" t="s">
        <v>366</v>
      </c>
      <c r="K1898" s="76" t="s">
        <v>3564</v>
      </c>
      <c r="L1898" s="76" t="s">
        <v>373</v>
      </c>
      <c r="M1898" s="76" t="s">
        <v>952</v>
      </c>
      <c r="N1898" s="76">
        <v>700</v>
      </c>
      <c r="O1898" s="76">
        <v>651</v>
      </c>
      <c r="P1898" s="78">
        <v>7.0000000000000007E-2</v>
      </c>
    </row>
    <row r="1899" spans="7:16" x14ac:dyDescent="0.3">
      <c r="G1899" t="s">
        <v>3565</v>
      </c>
      <c r="H1899" s="76" t="s">
        <v>700</v>
      </c>
      <c r="I1899" s="76" t="s">
        <v>465</v>
      </c>
      <c r="J1899" s="76" t="s">
        <v>366</v>
      </c>
      <c r="K1899" s="77">
        <v>43074</v>
      </c>
      <c r="L1899" s="76" t="s">
        <v>385</v>
      </c>
      <c r="M1899" s="76" t="s">
        <v>778</v>
      </c>
      <c r="N1899" s="76">
        <v>50</v>
      </c>
      <c r="O1899" s="76">
        <v>48</v>
      </c>
      <c r="P1899" s="78">
        <v>0.04</v>
      </c>
    </row>
    <row r="1900" spans="7:16" x14ac:dyDescent="0.3">
      <c r="G1900" t="s">
        <v>3566</v>
      </c>
      <c r="H1900" s="76" t="s">
        <v>421</v>
      </c>
      <c r="I1900" s="76" t="s">
        <v>422</v>
      </c>
      <c r="J1900" s="76" t="s">
        <v>384</v>
      </c>
      <c r="K1900" s="76" t="s">
        <v>2152</v>
      </c>
      <c r="L1900" s="76" t="s">
        <v>405</v>
      </c>
      <c r="M1900" s="76" t="s">
        <v>869</v>
      </c>
      <c r="N1900" s="76">
        <v>800</v>
      </c>
      <c r="O1900" s="76">
        <v>592</v>
      </c>
      <c r="P1900" s="78">
        <v>0.26</v>
      </c>
    </row>
    <row r="1901" spans="7:16" x14ac:dyDescent="0.3">
      <c r="G1901" t="s">
        <v>3567</v>
      </c>
      <c r="H1901" s="76" t="s">
        <v>494</v>
      </c>
      <c r="I1901" s="76" t="s">
        <v>465</v>
      </c>
      <c r="J1901" s="76" t="s">
        <v>366</v>
      </c>
      <c r="K1901" s="76" t="s">
        <v>1898</v>
      </c>
      <c r="L1901" s="76" t="s">
        <v>379</v>
      </c>
      <c r="M1901" s="76" t="s">
        <v>1027</v>
      </c>
      <c r="N1901" s="76">
        <v>150</v>
      </c>
      <c r="O1901" s="76">
        <v>137</v>
      </c>
      <c r="P1901" s="78">
        <v>8.6699999999999999E-2</v>
      </c>
    </row>
    <row r="1902" spans="7:16" x14ac:dyDescent="0.3">
      <c r="G1902" t="s">
        <v>3568</v>
      </c>
      <c r="H1902" s="76" t="s">
        <v>514</v>
      </c>
      <c r="I1902" s="76" t="s">
        <v>515</v>
      </c>
      <c r="J1902" s="76" t="s">
        <v>360</v>
      </c>
      <c r="K1902" s="76" t="s">
        <v>2484</v>
      </c>
      <c r="L1902" s="76" t="s">
        <v>396</v>
      </c>
      <c r="M1902" s="76" t="s">
        <v>2505</v>
      </c>
      <c r="N1902" s="76">
        <v>500</v>
      </c>
      <c r="O1902" s="76">
        <v>475</v>
      </c>
      <c r="P1902" s="78">
        <v>0.05</v>
      </c>
    </row>
    <row r="1903" spans="7:16" x14ac:dyDescent="0.3">
      <c r="G1903" t="s">
        <v>3569</v>
      </c>
      <c r="H1903" s="76" t="s">
        <v>449</v>
      </c>
      <c r="I1903" s="76" t="s">
        <v>450</v>
      </c>
      <c r="J1903" s="76" t="s">
        <v>360</v>
      </c>
      <c r="K1903" s="76" t="s">
        <v>3570</v>
      </c>
      <c r="L1903" s="76" t="s">
        <v>379</v>
      </c>
      <c r="M1903" s="76" t="s">
        <v>3124</v>
      </c>
      <c r="N1903" s="76">
        <v>150</v>
      </c>
      <c r="O1903" s="76">
        <v>105</v>
      </c>
      <c r="P1903" s="78">
        <v>0.3</v>
      </c>
    </row>
    <row r="1904" spans="7:16" x14ac:dyDescent="0.3">
      <c r="G1904" t="s">
        <v>3571</v>
      </c>
      <c r="H1904" s="76" t="s">
        <v>638</v>
      </c>
      <c r="I1904" s="76" t="s">
        <v>639</v>
      </c>
      <c r="J1904" s="76" t="s">
        <v>360</v>
      </c>
      <c r="K1904" s="76" t="s">
        <v>2384</v>
      </c>
      <c r="L1904" s="76" t="s">
        <v>373</v>
      </c>
      <c r="M1904" s="76" t="s">
        <v>641</v>
      </c>
      <c r="N1904" s="76">
        <v>700</v>
      </c>
      <c r="O1904" s="76">
        <v>602</v>
      </c>
      <c r="P1904" s="78">
        <v>0.14000000000000001</v>
      </c>
    </row>
    <row r="1905" spans="7:16" x14ac:dyDescent="0.3">
      <c r="G1905" t="s">
        <v>3572</v>
      </c>
      <c r="H1905" s="76" t="s">
        <v>444</v>
      </c>
      <c r="I1905" s="76" t="s">
        <v>445</v>
      </c>
      <c r="J1905" s="76" t="s">
        <v>384</v>
      </c>
      <c r="K1905" s="76" t="s">
        <v>3573</v>
      </c>
      <c r="L1905" s="76" t="s">
        <v>405</v>
      </c>
      <c r="M1905" s="76" t="s">
        <v>3388</v>
      </c>
      <c r="N1905" s="76">
        <v>800</v>
      </c>
      <c r="O1905" s="76">
        <v>672</v>
      </c>
      <c r="P1905" s="78">
        <v>0.16</v>
      </c>
    </row>
    <row r="1906" spans="7:16" x14ac:dyDescent="0.3">
      <c r="G1906" t="s">
        <v>3574</v>
      </c>
      <c r="H1906" s="76" t="s">
        <v>615</v>
      </c>
      <c r="I1906" s="76" t="s">
        <v>400</v>
      </c>
      <c r="J1906" s="76" t="s">
        <v>372</v>
      </c>
      <c r="K1906" s="77">
        <v>43414</v>
      </c>
      <c r="L1906" s="76" t="s">
        <v>391</v>
      </c>
      <c r="M1906" s="76" t="s">
        <v>2880</v>
      </c>
      <c r="N1906" s="76">
        <v>30</v>
      </c>
      <c r="O1906" s="76">
        <v>28</v>
      </c>
      <c r="P1906" s="78">
        <v>6.6699999999999995E-2</v>
      </c>
    </row>
    <row r="1907" spans="7:16" x14ac:dyDescent="0.3">
      <c r="G1907" t="s">
        <v>3575</v>
      </c>
      <c r="H1907" s="76" t="s">
        <v>394</v>
      </c>
      <c r="I1907" s="76" t="s">
        <v>395</v>
      </c>
      <c r="J1907" s="76" t="s">
        <v>372</v>
      </c>
      <c r="K1907" s="76" t="s">
        <v>1569</v>
      </c>
      <c r="L1907" s="76" t="s">
        <v>373</v>
      </c>
      <c r="M1907" s="76" t="s">
        <v>1881</v>
      </c>
      <c r="N1907" s="76">
        <v>700</v>
      </c>
      <c r="O1907" s="76">
        <v>420</v>
      </c>
      <c r="P1907" s="78">
        <v>0.4</v>
      </c>
    </row>
    <row r="1908" spans="7:16" x14ac:dyDescent="0.3">
      <c r="G1908" t="s">
        <v>3576</v>
      </c>
      <c r="H1908" s="76" t="s">
        <v>700</v>
      </c>
      <c r="I1908" s="76" t="s">
        <v>465</v>
      </c>
      <c r="J1908" s="76" t="s">
        <v>366</v>
      </c>
      <c r="K1908" s="76" t="s">
        <v>3577</v>
      </c>
      <c r="L1908" s="76" t="s">
        <v>391</v>
      </c>
      <c r="M1908" s="76" t="s">
        <v>1821</v>
      </c>
      <c r="N1908" s="76">
        <v>30</v>
      </c>
      <c r="O1908" s="76">
        <v>29</v>
      </c>
      <c r="P1908" s="78">
        <v>3.3300000000000003E-2</v>
      </c>
    </row>
    <row r="1909" spans="7:16" x14ac:dyDescent="0.3">
      <c r="G1909" t="s">
        <v>3578</v>
      </c>
      <c r="H1909" s="76" t="s">
        <v>656</v>
      </c>
      <c r="I1909" s="76" t="s">
        <v>657</v>
      </c>
      <c r="J1909" s="76" t="s">
        <v>360</v>
      </c>
      <c r="K1909" s="77">
        <v>42288</v>
      </c>
      <c r="L1909" s="76" t="s">
        <v>373</v>
      </c>
      <c r="M1909" s="76" t="s">
        <v>1010</v>
      </c>
      <c r="N1909" s="76">
        <v>700</v>
      </c>
      <c r="O1909" s="76">
        <v>616</v>
      </c>
      <c r="P1909" s="78">
        <v>0.12</v>
      </c>
    </row>
    <row r="1910" spans="7:16" x14ac:dyDescent="0.3">
      <c r="G1910" t="s">
        <v>3579</v>
      </c>
      <c r="H1910" s="76" t="s">
        <v>891</v>
      </c>
      <c r="I1910" s="76" t="s">
        <v>892</v>
      </c>
      <c r="J1910" s="76" t="s">
        <v>372</v>
      </c>
      <c r="K1910" s="76" t="s">
        <v>882</v>
      </c>
      <c r="L1910" s="76" t="s">
        <v>373</v>
      </c>
      <c r="M1910" s="76" t="s">
        <v>1046</v>
      </c>
      <c r="N1910" s="76">
        <v>700</v>
      </c>
      <c r="O1910" s="76">
        <v>602</v>
      </c>
      <c r="P1910" s="78">
        <v>0.14000000000000001</v>
      </c>
    </row>
    <row r="1911" spans="7:16" x14ac:dyDescent="0.3">
      <c r="G1911" t="s">
        <v>3580</v>
      </c>
      <c r="H1911" s="76" t="s">
        <v>469</v>
      </c>
      <c r="I1911" s="76" t="s">
        <v>435</v>
      </c>
      <c r="J1911" s="76" t="s">
        <v>360</v>
      </c>
      <c r="K1911" s="77">
        <v>42040</v>
      </c>
      <c r="L1911" s="76" t="s">
        <v>405</v>
      </c>
      <c r="M1911" s="76" t="s">
        <v>1128</v>
      </c>
      <c r="N1911" s="76">
        <v>800</v>
      </c>
      <c r="O1911" s="76">
        <v>704</v>
      </c>
      <c r="P1911" s="78">
        <v>0.12</v>
      </c>
    </row>
    <row r="1912" spans="7:16" x14ac:dyDescent="0.3">
      <c r="G1912" t="s">
        <v>3581</v>
      </c>
      <c r="H1912" s="76" t="s">
        <v>619</v>
      </c>
      <c r="I1912" s="76" t="s">
        <v>620</v>
      </c>
      <c r="J1912" s="76" t="s">
        <v>372</v>
      </c>
      <c r="K1912" s="77">
        <v>42497</v>
      </c>
      <c r="L1912" s="76" t="s">
        <v>424</v>
      </c>
      <c r="M1912" s="76" t="s">
        <v>1433</v>
      </c>
      <c r="N1912" s="76">
        <v>500</v>
      </c>
      <c r="O1912" s="76">
        <v>500</v>
      </c>
      <c r="P1912" s="78">
        <v>0</v>
      </c>
    </row>
    <row r="1913" spans="7:16" x14ac:dyDescent="0.3">
      <c r="G1913" t="s">
        <v>3582</v>
      </c>
      <c r="H1913" s="76" t="s">
        <v>591</v>
      </c>
      <c r="I1913" s="76" t="s">
        <v>592</v>
      </c>
      <c r="J1913" s="76" t="s">
        <v>372</v>
      </c>
      <c r="K1913" s="76" t="s">
        <v>1982</v>
      </c>
      <c r="L1913" s="76" t="s">
        <v>379</v>
      </c>
      <c r="M1913" s="76" t="s">
        <v>2285</v>
      </c>
      <c r="N1913" s="76">
        <v>150</v>
      </c>
      <c r="O1913" s="76">
        <v>147</v>
      </c>
      <c r="P1913" s="78">
        <v>0.02</v>
      </c>
    </row>
    <row r="1914" spans="7:16" x14ac:dyDescent="0.3">
      <c r="G1914" t="s">
        <v>3583</v>
      </c>
      <c r="H1914" s="76" t="s">
        <v>364</v>
      </c>
      <c r="I1914" s="76" t="s">
        <v>365</v>
      </c>
      <c r="J1914" s="76" t="s">
        <v>366</v>
      </c>
      <c r="K1914" s="76" t="s">
        <v>3207</v>
      </c>
      <c r="L1914" s="76" t="s">
        <v>391</v>
      </c>
      <c r="M1914" s="76" t="s">
        <v>973</v>
      </c>
      <c r="N1914" s="76">
        <v>30</v>
      </c>
      <c r="O1914" s="76">
        <v>29</v>
      </c>
      <c r="P1914" s="78">
        <v>3.3300000000000003E-2</v>
      </c>
    </row>
    <row r="1915" spans="7:16" x14ac:dyDescent="0.3">
      <c r="G1915" t="s">
        <v>3584</v>
      </c>
      <c r="H1915" s="76" t="s">
        <v>611</v>
      </c>
      <c r="I1915" s="76" t="s">
        <v>389</v>
      </c>
      <c r="J1915" s="76" t="s">
        <v>384</v>
      </c>
      <c r="K1915" s="76" t="s">
        <v>3585</v>
      </c>
      <c r="L1915" s="76" t="s">
        <v>396</v>
      </c>
      <c r="M1915" s="76" t="s">
        <v>666</v>
      </c>
      <c r="N1915" s="76">
        <v>500</v>
      </c>
      <c r="O1915" s="76">
        <v>455</v>
      </c>
      <c r="P1915" s="78">
        <v>0.09</v>
      </c>
    </row>
    <row r="1916" spans="7:16" x14ac:dyDescent="0.3">
      <c r="G1916" t="s">
        <v>3586</v>
      </c>
      <c r="H1916" s="76" t="s">
        <v>675</v>
      </c>
      <c r="I1916" s="76" t="s">
        <v>676</v>
      </c>
      <c r="J1916" s="76" t="s">
        <v>384</v>
      </c>
      <c r="K1916" s="76" t="s">
        <v>3587</v>
      </c>
      <c r="L1916" s="76" t="s">
        <v>475</v>
      </c>
      <c r="M1916" s="76" t="s">
        <v>678</v>
      </c>
      <c r="N1916" s="76">
        <v>250</v>
      </c>
      <c r="O1916" s="76">
        <v>250</v>
      </c>
      <c r="P1916" s="78">
        <v>0</v>
      </c>
    </row>
    <row r="1917" spans="7:16" x14ac:dyDescent="0.3">
      <c r="G1917" t="s">
        <v>3588</v>
      </c>
      <c r="H1917" s="76" t="s">
        <v>358</v>
      </c>
      <c r="I1917" s="76" t="s">
        <v>359</v>
      </c>
      <c r="J1917" s="76" t="s">
        <v>360</v>
      </c>
      <c r="K1917" s="76" t="s">
        <v>3589</v>
      </c>
      <c r="L1917" s="76" t="s">
        <v>405</v>
      </c>
      <c r="M1917" s="76" t="s">
        <v>575</v>
      </c>
      <c r="N1917" s="76">
        <v>800</v>
      </c>
      <c r="O1917" s="76">
        <v>688</v>
      </c>
      <c r="P1917" s="78">
        <v>0.14000000000000001</v>
      </c>
    </row>
    <row r="1918" spans="7:16" x14ac:dyDescent="0.3">
      <c r="G1918" t="s">
        <v>3590</v>
      </c>
      <c r="H1918" s="76" t="s">
        <v>370</v>
      </c>
      <c r="I1918" s="76" t="s">
        <v>371</v>
      </c>
      <c r="J1918" s="76" t="s">
        <v>372</v>
      </c>
      <c r="K1918" s="77">
        <v>42705</v>
      </c>
      <c r="L1918" s="76" t="s">
        <v>385</v>
      </c>
      <c r="M1918" s="76" t="s">
        <v>731</v>
      </c>
      <c r="N1918" s="76">
        <v>50</v>
      </c>
      <c r="O1918" s="76">
        <v>44</v>
      </c>
      <c r="P1918" s="78">
        <v>0.12</v>
      </c>
    </row>
    <row r="1919" spans="7:16" x14ac:dyDescent="0.3">
      <c r="G1919" t="s">
        <v>3591</v>
      </c>
      <c r="H1919" s="76" t="s">
        <v>485</v>
      </c>
      <c r="I1919" s="76" t="s">
        <v>389</v>
      </c>
      <c r="J1919" s="76" t="s">
        <v>384</v>
      </c>
      <c r="K1919" s="77">
        <v>42864</v>
      </c>
      <c r="L1919" s="76" t="s">
        <v>424</v>
      </c>
      <c r="M1919" s="76" t="s">
        <v>1467</v>
      </c>
      <c r="N1919" s="76">
        <v>500</v>
      </c>
      <c r="O1919" s="76">
        <v>495</v>
      </c>
      <c r="P1919" s="78">
        <v>0.01</v>
      </c>
    </row>
    <row r="1920" spans="7:16" x14ac:dyDescent="0.3">
      <c r="G1920" t="s">
        <v>3592</v>
      </c>
      <c r="H1920" s="76" t="s">
        <v>473</v>
      </c>
      <c r="I1920" s="76" t="s">
        <v>404</v>
      </c>
      <c r="J1920" s="76" t="s">
        <v>360</v>
      </c>
      <c r="K1920" s="77">
        <v>42894</v>
      </c>
      <c r="L1920" s="76" t="s">
        <v>391</v>
      </c>
      <c r="M1920" s="76" t="s">
        <v>950</v>
      </c>
      <c r="N1920" s="76">
        <v>30</v>
      </c>
      <c r="O1920" s="76">
        <v>30</v>
      </c>
      <c r="P1920" s="78">
        <v>0</v>
      </c>
    </row>
    <row r="1921" spans="7:16" x14ac:dyDescent="0.3">
      <c r="G1921" t="s">
        <v>3593</v>
      </c>
      <c r="H1921" s="76" t="s">
        <v>478</v>
      </c>
      <c r="I1921" s="76" t="s">
        <v>479</v>
      </c>
      <c r="J1921" s="76" t="s">
        <v>384</v>
      </c>
      <c r="K1921" s="77">
        <v>41955</v>
      </c>
      <c r="L1921" s="76" t="s">
        <v>411</v>
      </c>
      <c r="M1921" s="76" t="s">
        <v>1448</v>
      </c>
      <c r="N1921" s="76">
        <v>1000</v>
      </c>
      <c r="O1921" s="76">
        <v>670</v>
      </c>
      <c r="P1921" s="78">
        <v>0.33</v>
      </c>
    </row>
    <row r="1922" spans="7:16" x14ac:dyDescent="0.3">
      <c r="G1922" t="s">
        <v>3594</v>
      </c>
      <c r="H1922" s="76" t="s">
        <v>394</v>
      </c>
      <c r="I1922" s="76" t="s">
        <v>395</v>
      </c>
      <c r="J1922" s="76" t="s">
        <v>372</v>
      </c>
      <c r="K1922" s="76" t="s">
        <v>1657</v>
      </c>
      <c r="L1922" s="76" t="s">
        <v>405</v>
      </c>
      <c r="M1922" s="76" t="s">
        <v>654</v>
      </c>
      <c r="N1922" s="76">
        <v>800</v>
      </c>
      <c r="O1922" s="76">
        <v>664</v>
      </c>
      <c r="P1922" s="78">
        <v>0.17</v>
      </c>
    </row>
    <row r="1923" spans="7:16" x14ac:dyDescent="0.3">
      <c r="G1923" t="s">
        <v>3595</v>
      </c>
      <c r="H1923" s="76" t="s">
        <v>388</v>
      </c>
      <c r="I1923" s="76" t="s">
        <v>389</v>
      </c>
      <c r="J1923" s="76" t="s">
        <v>384</v>
      </c>
      <c r="K1923" s="77">
        <v>41766</v>
      </c>
      <c r="L1923" s="76" t="s">
        <v>483</v>
      </c>
      <c r="M1923" s="76" t="s">
        <v>2482</v>
      </c>
      <c r="N1923" s="76">
        <v>50</v>
      </c>
      <c r="O1923" s="76">
        <v>40</v>
      </c>
      <c r="P1923" s="78">
        <v>0.2</v>
      </c>
    </row>
    <row r="1924" spans="7:16" x14ac:dyDescent="0.3">
      <c r="G1924" t="s">
        <v>3596</v>
      </c>
      <c r="H1924" s="76" t="s">
        <v>403</v>
      </c>
      <c r="I1924" s="76" t="s">
        <v>404</v>
      </c>
      <c r="J1924" s="76" t="s">
        <v>360</v>
      </c>
      <c r="K1924" s="77">
        <v>42987</v>
      </c>
      <c r="L1924" s="76" t="s">
        <v>411</v>
      </c>
      <c r="M1924" s="76" t="s">
        <v>406</v>
      </c>
      <c r="N1924" s="76">
        <v>1000</v>
      </c>
      <c r="O1924" s="76">
        <v>890</v>
      </c>
      <c r="P1924" s="78">
        <v>0.11</v>
      </c>
    </row>
    <row r="1925" spans="7:16" x14ac:dyDescent="0.3">
      <c r="G1925" t="s">
        <v>3597</v>
      </c>
      <c r="H1925" s="76" t="s">
        <v>449</v>
      </c>
      <c r="I1925" s="76" t="s">
        <v>450</v>
      </c>
      <c r="J1925" s="76" t="s">
        <v>360</v>
      </c>
      <c r="K1925" s="76" t="s">
        <v>1702</v>
      </c>
      <c r="L1925" s="76" t="s">
        <v>391</v>
      </c>
      <c r="M1925" s="76" t="s">
        <v>606</v>
      </c>
      <c r="N1925" s="76">
        <v>30</v>
      </c>
      <c r="O1925" s="76">
        <v>20</v>
      </c>
      <c r="P1925" s="78">
        <v>0.33329999999999999</v>
      </c>
    </row>
    <row r="1926" spans="7:16" x14ac:dyDescent="0.3">
      <c r="G1926" t="s">
        <v>3598</v>
      </c>
      <c r="H1926" s="76" t="s">
        <v>615</v>
      </c>
      <c r="I1926" s="76" t="s">
        <v>400</v>
      </c>
      <c r="J1926" s="76" t="s">
        <v>372</v>
      </c>
      <c r="K1926" s="76" t="s">
        <v>3599</v>
      </c>
      <c r="L1926" s="76" t="s">
        <v>475</v>
      </c>
      <c r="M1926" s="76" t="s">
        <v>864</v>
      </c>
      <c r="N1926" s="76">
        <v>250</v>
      </c>
      <c r="O1926" s="76">
        <v>245</v>
      </c>
      <c r="P1926" s="78">
        <v>0.02</v>
      </c>
    </row>
    <row r="1927" spans="7:16" x14ac:dyDescent="0.3">
      <c r="G1927" t="s">
        <v>3600</v>
      </c>
      <c r="H1927" s="76" t="s">
        <v>566</v>
      </c>
      <c r="I1927" s="76" t="s">
        <v>567</v>
      </c>
      <c r="J1927" s="76" t="s">
        <v>360</v>
      </c>
      <c r="K1927" s="76" t="s">
        <v>3399</v>
      </c>
      <c r="L1927" s="76" t="s">
        <v>385</v>
      </c>
      <c r="M1927" s="76" t="s">
        <v>633</v>
      </c>
      <c r="N1927" s="76">
        <v>50</v>
      </c>
      <c r="O1927" s="76">
        <v>47</v>
      </c>
      <c r="P1927" s="78">
        <v>0.06</v>
      </c>
    </row>
    <row r="1928" spans="7:16" x14ac:dyDescent="0.3">
      <c r="G1928" t="s">
        <v>3601</v>
      </c>
      <c r="H1928" s="76" t="s">
        <v>615</v>
      </c>
      <c r="I1928" s="76" t="s">
        <v>400</v>
      </c>
      <c r="J1928" s="76" t="s">
        <v>372</v>
      </c>
      <c r="K1928" s="76" t="s">
        <v>1406</v>
      </c>
      <c r="L1928" s="76" t="s">
        <v>361</v>
      </c>
      <c r="M1928" s="76" t="s">
        <v>1155</v>
      </c>
      <c r="N1928" s="76">
        <v>80</v>
      </c>
      <c r="O1928" s="76">
        <v>73</v>
      </c>
      <c r="P1928" s="78">
        <v>8.7499999999999994E-2</v>
      </c>
    </row>
    <row r="1929" spans="7:16" x14ac:dyDescent="0.3">
      <c r="G1929" t="s">
        <v>3602</v>
      </c>
      <c r="H1929" s="76" t="s">
        <v>454</v>
      </c>
      <c r="I1929" s="76" t="s">
        <v>455</v>
      </c>
      <c r="J1929" s="76" t="s">
        <v>360</v>
      </c>
      <c r="K1929" s="77">
        <v>41981</v>
      </c>
      <c r="L1929" s="76" t="s">
        <v>424</v>
      </c>
      <c r="M1929" s="76" t="s">
        <v>1318</v>
      </c>
      <c r="N1929" s="76">
        <v>500</v>
      </c>
      <c r="O1929" s="76">
        <v>490</v>
      </c>
      <c r="P1929" s="78">
        <v>0.02</v>
      </c>
    </row>
    <row r="1930" spans="7:16" x14ac:dyDescent="0.3">
      <c r="G1930" t="s">
        <v>3603</v>
      </c>
      <c r="H1930" s="76" t="s">
        <v>566</v>
      </c>
      <c r="I1930" s="76" t="s">
        <v>567</v>
      </c>
      <c r="J1930" s="76" t="s">
        <v>360</v>
      </c>
      <c r="K1930" s="76" t="s">
        <v>2134</v>
      </c>
      <c r="L1930" s="76" t="s">
        <v>405</v>
      </c>
      <c r="M1930" s="76" t="s">
        <v>867</v>
      </c>
      <c r="N1930" s="76">
        <v>800</v>
      </c>
      <c r="O1930" s="76">
        <v>712</v>
      </c>
      <c r="P1930" s="78">
        <v>0.11</v>
      </c>
    </row>
    <row r="1931" spans="7:16" x14ac:dyDescent="0.3">
      <c r="G1931" t="s">
        <v>3604</v>
      </c>
      <c r="H1931" s="76" t="s">
        <v>399</v>
      </c>
      <c r="I1931" s="76" t="s">
        <v>400</v>
      </c>
      <c r="J1931" s="76" t="s">
        <v>372</v>
      </c>
      <c r="K1931" s="76" t="s">
        <v>1098</v>
      </c>
      <c r="L1931" s="76" t="s">
        <v>411</v>
      </c>
      <c r="M1931" s="76" t="s">
        <v>1249</v>
      </c>
      <c r="N1931" s="76">
        <v>1000</v>
      </c>
      <c r="O1931" s="76">
        <v>920</v>
      </c>
      <c r="P1931" s="78">
        <v>0.08</v>
      </c>
    </row>
    <row r="1932" spans="7:16" x14ac:dyDescent="0.3">
      <c r="G1932" t="s">
        <v>3605</v>
      </c>
      <c r="H1932" s="76" t="s">
        <v>591</v>
      </c>
      <c r="I1932" s="76" t="s">
        <v>592</v>
      </c>
      <c r="J1932" s="76" t="s">
        <v>372</v>
      </c>
      <c r="K1932" s="77">
        <v>42315</v>
      </c>
      <c r="L1932" s="76" t="s">
        <v>424</v>
      </c>
      <c r="M1932" s="76" t="s">
        <v>1327</v>
      </c>
      <c r="N1932" s="76">
        <v>500</v>
      </c>
      <c r="O1932" s="76">
        <v>495</v>
      </c>
      <c r="P1932" s="78">
        <v>0.01</v>
      </c>
    </row>
    <row r="1933" spans="7:16" x14ac:dyDescent="0.3">
      <c r="G1933" t="s">
        <v>3606</v>
      </c>
      <c r="H1933" s="76" t="s">
        <v>399</v>
      </c>
      <c r="I1933" s="76" t="s">
        <v>400</v>
      </c>
      <c r="J1933" s="76" t="s">
        <v>372</v>
      </c>
      <c r="K1933" s="77">
        <v>43354</v>
      </c>
      <c r="L1933" s="76" t="s">
        <v>385</v>
      </c>
      <c r="M1933" s="76" t="s">
        <v>1536</v>
      </c>
      <c r="N1933" s="76">
        <v>50</v>
      </c>
      <c r="O1933" s="76">
        <v>45</v>
      </c>
      <c r="P1933" s="78">
        <v>0.1</v>
      </c>
    </row>
    <row r="1934" spans="7:16" x14ac:dyDescent="0.3">
      <c r="G1934" t="s">
        <v>3607</v>
      </c>
      <c r="H1934" s="76" t="s">
        <v>454</v>
      </c>
      <c r="I1934" s="76" t="s">
        <v>455</v>
      </c>
      <c r="J1934" s="76" t="s">
        <v>360</v>
      </c>
      <c r="K1934" s="76" t="s">
        <v>2701</v>
      </c>
      <c r="L1934" s="76" t="s">
        <v>424</v>
      </c>
      <c r="M1934" s="76" t="s">
        <v>1772</v>
      </c>
      <c r="N1934" s="76">
        <v>500</v>
      </c>
      <c r="O1934" s="76">
        <v>490</v>
      </c>
      <c r="P1934" s="78">
        <v>0.02</v>
      </c>
    </row>
    <row r="1935" spans="7:16" x14ac:dyDescent="0.3">
      <c r="G1935" t="s">
        <v>3608</v>
      </c>
      <c r="H1935" s="76" t="s">
        <v>747</v>
      </c>
      <c r="I1935" s="76" t="s">
        <v>748</v>
      </c>
      <c r="J1935" s="76" t="s">
        <v>360</v>
      </c>
      <c r="K1935" s="76" t="s">
        <v>3287</v>
      </c>
      <c r="L1935" s="76" t="s">
        <v>475</v>
      </c>
      <c r="M1935" s="76" t="s">
        <v>917</v>
      </c>
      <c r="N1935" s="76">
        <v>250</v>
      </c>
      <c r="O1935" s="76">
        <v>238</v>
      </c>
      <c r="P1935" s="78">
        <v>4.8000000000000001E-2</v>
      </c>
    </row>
    <row r="1936" spans="7:16" x14ac:dyDescent="0.3">
      <c r="G1936" t="s">
        <v>3609</v>
      </c>
      <c r="H1936" s="76" t="s">
        <v>566</v>
      </c>
      <c r="I1936" s="76" t="s">
        <v>567</v>
      </c>
      <c r="J1936" s="76" t="s">
        <v>360</v>
      </c>
      <c r="K1936" s="77">
        <v>43079</v>
      </c>
      <c r="L1936" s="76" t="s">
        <v>411</v>
      </c>
      <c r="M1936" s="76" t="s">
        <v>1370</v>
      </c>
      <c r="N1936" s="76">
        <v>1000</v>
      </c>
      <c r="O1936" s="76">
        <v>670</v>
      </c>
      <c r="P1936" s="78">
        <v>0.33</v>
      </c>
    </row>
    <row r="1937" spans="7:16" x14ac:dyDescent="0.3">
      <c r="G1937" t="s">
        <v>3610</v>
      </c>
      <c r="H1937" s="76" t="s">
        <v>421</v>
      </c>
      <c r="I1937" s="76" t="s">
        <v>422</v>
      </c>
      <c r="J1937" s="76" t="s">
        <v>384</v>
      </c>
      <c r="K1937" s="76" t="s">
        <v>1622</v>
      </c>
      <c r="L1937" s="76" t="s">
        <v>361</v>
      </c>
      <c r="M1937" s="76" t="s">
        <v>1596</v>
      </c>
      <c r="N1937" s="76">
        <v>80</v>
      </c>
      <c r="O1937" s="76">
        <v>72</v>
      </c>
      <c r="P1937" s="78">
        <v>0.1</v>
      </c>
    </row>
    <row r="1938" spans="7:16" x14ac:dyDescent="0.3">
      <c r="G1938" t="s">
        <v>3611</v>
      </c>
      <c r="H1938" s="76" t="s">
        <v>547</v>
      </c>
      <c r="I1938" s="76" t="s">
        <v>548</v>
      </c>
      <c r="J1938" s="76" t="s">
        <v>360</v>
      </c>
      <c r="K1938" s="76" t="s">
        <v>486</v>
      </c>
      <c r="L1938" s="76" t="s">
        <v>396</v>
      </c>
      <c r="M1938" s="76" t="s">
        <v>2779</v>
      </c>
      <c r="N1938" s="76">
        <v>500</v>
      </c>
      <c r="O1938" s="76">
        <v>310</v>
      </c>
      <c r="P1938" s="78">
        <v>0.38</v>
      </c>
    </row>
    <row r="1939" spans="7:16" x14ac:dyDescent="0.3">
      <c r="G1939" t="s">
        <v>3612</v>
      </c>
      <c r="H1939" s="76" t="s">
        <v>675</v>
      </c>
      <c r="I1939" s="76" t="s">
        <v>676</v>
      </c>
      <c r="J1939" s="76" t="s">
        <v>384</v>
      </c>
      <c r="K1939" s="77">
        <v>42193</v>
      </c>
      <c r="L1939" s="76" t="s">
        <v>361</v>
      </c>
      <c r="M1939" s="76" t="s">
        <v>678</v>
      </c>
      <c r="N1939" s="76">
        <v>80</v>
      </c>
      <c r="O1939" s="76">
        <v>80</v>
      </c>
      <c r="P1939" s="78">
        <v>0</v>
      </c>
    </row>
    <row r="1940" spans="7:16" x14ac:dyDescent="0.3">
      <c r="G1940" t="s">
        <v>3613</v>
      </c>
      <c r="H1940" s="76" t="s">
        <v>891</v>
      </c>
      <c r="I1940" s="76" t="s">
        <v>892</v>
      </c>
      <c r="J1940" s="76" t="s">
        <v>372</v>
      </c>
      <c r="K1940" s="77">
        <v>42066</v>
      </c>
      <c r="L1940" s="76" t="s">
        <v>461</v>
      </c>
      <c r="M1940" s="76" t="s">
        <v>893</v>
      </c>
      <c r="N1940" s="76">
        <v>70</v>
      </c>
      <c r="O1940" s="76">
        <v>57</v>
      </c>
      <c r="P1940" s="78">
        <v>0.1857</v>
      </c>
    </row>
    <row r="1941" spans="7:16" x14ac:dyDescent="0.3">
      <c r="G1941" t="s">
        <v>3614</v>
      </c>
      <c r="H1941" s="76" t="s">
        <v>560</v>
      </c>
      <c r="I1941" s="76" t="s">
        <v>465</v>
      </c>
      <c r="J1941" s="76" t="s">
        <v>366</v>
      </c>
      <c r="K1941" s="76" t="s">
        <v>3615</v>
      </c>
      <c r="L1941" s="76" t="s">
        <v>385</v>
      </c>
      <c r="M1941" s="76" t="s">
        <v>987</v>
      </c>
      <c r="N1941" s="76">
        <v>50</v>
      </c>
      <c r="O1941" s="76">
        <v>48</v>
      </c>
      <c r="P1941" s="78">
        <v>0.04</v>
      </c>
    </row>
    <row r="1942" spans="7:16" x14ac:dyDescent="0.3">
      <c r="G1942" t="s">
        <v>3616</v>
      </c>
      <c r="H1942" s="76" t="s">
        <v>454</v>
      </c>
      <c r="I1942" s="76" t="s">
        <v>455</v>
      </c>
      <c r="J1942" s="76" t="s">
        <v>360</v>
      </c>
      <c r="K1942" s="76" t="s">
        <v>1437</v>
      </c>
      <c r="L1942" s="76" t="s">
        <v>379</v>
      </c>
      <c r="M1942" s="76" t="s">
        <v>1318</v>
      </c>
      <c r="N1942" s="76">
        <v>150</v>
      </c>
      <c r="O1942" s="76">
        <v>128</v>
      </c>
      <c r="P1942" s="78">
        <v>0.1467</v>
      </c>
    </row>
    <row r="1943" spans="7:16" x14ac:dyDescent="0.3">
      <c r="G1943" t="s">
        <v>3617</v>
      </c>
      <c r="H1943" s="76" t="s">
        <v>619</v>
      </c>
      <c r="I1943" s="76" t="s">
        <v>620</v>
      </c>
      <c r="J1943" s="76" t="s">
        <v>372</v>
      </c>
      <c r="K1943" s="77">
        <v>42828</v>
      </c>
      <c r="L1943" s="76" t="s">
        <v>424</v>
      </c>
      <c r="M1943" s="76" t="s">
        <v>3420</v>
      </c>
      <c r="N1943" s="76">
        <v>500</v>
      </c>
      <c r="O1943" s="76">
        <v>490</v>
      </c>
      <c r="P1943" s="78">
        <v>0.02</v>
      </c>
    </row>
    <row r="1944" spans="7:16" x14ac:dyDescent="0.3">
      <c r="G1944" t="s">
        <v>3618</v>
      </c>
      <c r="H1944" s="76" t="s">
        <v>454</v>
      </c>
      <c r="I1944" s="76" t="s">
        <v>455</v>
      </c>
      <c r="J1944" s="76" t="s">
        <v>360</v>
      </c>
      <c r="K1944" s="77">
        <v>41946</v>
      </c>
      <c r="L1944" s="76" t="s">
        <v>379</v>
      </c>
      <c r="M1944" s="76" t="s">
        <v>1318</v>
      </c>
      <c r="N1944" s="76">
        <v>150</v>
      </c>
      <c r="O1944" s="76">
        <v>120</v>
      </c>
      <c r="P1944" s="78">
        <v>0.2</v>
      </c>
    </row>
    <row r="1945" spans="7:16" x14ac:dyDescent="0.3">
      <c r="G1945" t="s">
        <v>3619</v>
      </c>
      <c r="H1945" s="76" t="s">
        <v>358</v>
      </c>
      <c r="I1945" s="76" t="s">
        <v>359</v>
      </c>
      <c r="J1945" s="76" t="s">
        <v>360</v>
      </c>
      <c r="K1945" s="76" t="s">
        <v>3620</v>
      </c>
      <c r="L1945" s="76" t="s">
        <v>373</v>
      </c>
      <c r="M1945" s="76" t="s">
        <v>683</v>
      </c>
      <c r="N1945" s="76">
        <v>700</v>
      </c>
      <c r="O1945" s="76">
        <v>665</v>
      </c>
      <c r="P1945" s="78">
        <v>0.05</v>
      </c>
    </row>
    <row r="1946" spans="7:16" x14ac:dyDescent="0.3">
      <c r="G1946" t="s">
        <v>3621</v>
      </c>
      <c r="H1946" s="76" t="s">
        <v>409</v>
      </c>
      <c r="I1946" s="76" t="s">
        <v>410</v>
      </c>
      <c r="J1946" s="76" t="s">
        <v>360</v>
      </c>
      <c r="K1946" s="77">
        <v>41979</v>
      </c>
      <c r="L1946" s="76" t="s">
        <v>405</v>
      </c>
      <c r="M1946" s="76" t="s">
        <v>733</v>
      </c>
      <c r="N1946" s="76">
        <v>800</v>
      </c>
      <c r="O1946" s="76">
        <v>480</v>
      </c>
      <c r="P1946" s="78">
        <v>0.4</v>
      </c>
    </row>
    <row r="1947" spans="7:16" x14ac:dyDescent="0.3">
      <c r="G1947" t="s">
        <v>3622</v>
      </c>
      <c r="H1947" s="76" t="s">
        <v>449</v>
      </c>
      <c r="I1947" s="76" t="s">
        <v>450</v>
      </c>
      <c r="J1947" s="76" t="s">
        <v>360</v>
      </c>
      <c r="K1947" s="77">
        <v>41795</v>
      </c>
      <c r="L1947" s="76" t="s">
        <v>461</v>
      </c>
      <c r="M1947" s="76" t="s">
        <v>606</v>
      </c>
      <c r="N1947" s="76">
        <v>70</v>
      </c>
      <c r="O1947" s="76">
        <v>67</v>
      </c>
      <c r="P1947" s="78">
        <v>4.2900000000000001E-2</v>
      </c>
    </row>
    <row r="1948" spans="7:16" x14ac:dyDescent="0.3">
      <c r="G1948" t="s">
        <v>3623</v>
      </c>
      <c r="H1948" s="76" t="s">
        <v>675</v>
      </c>
      <c r="I1948" s="76" t="s">
        <v>676</v>
      </c>
      <c r="J1948" s="76" t="s">
        <v>384</v>
      </c>
      <c r="K1948" s="76" t="s">
        <v>3624</v>
      </c>
      <c r="L1948" s="76" t="s">
        <v>411</v>
      </c>
      <c r="M1948" s="76" t="s">
        <v>1268</v>
      </c>
      <c r="N1948" s="76">
        <v>1000</v>
      </c>
      <c r="O1948" s="76">
        <v>680</v>
      </c>
      <c r="P1948" s="78">
        <v>0.32</v>
      </c>
    </row>
    <row r="1949" spans="7:16" x14ac:dyDescent="0.3">
      <c r="G1949" t="s">
        <v>3625</v>
      </c>
      <c r="H1949" s="76" t="s">
        <v>489</v>
      </c>
      <c r="I1949" s="76" t="s">
        <v>490</v>
      </c>
      <c r="J1949" s="76" t="s">
        <v>360</v>
      </c>
      <c r="K1949" s="76" t="s">
        <v>3279</v>
      </c>
      <c r="L1949" s="76" t="s">
        <v>361</v>
      </c>
      <c r="M1949" s="76" t="s">
        <v>1472</v>
      </c>
      <c r="N1949" s="76">
        <v>80</v>
      </c>
      <c r="O1949" s="76">
        <v>57</v>
      </c>
      <c r="P1949" s="78">
        <v>0.28749999999999998</v>
      </c>
    </row>
    <row r="1950" spans="7:16" x14ac:dyDescent="0.3">
      <c r="G1950" t="s">
        <v>3626</v>
      </c>
      <c r="H1950" s="76" t="s">
        <v>551</v>
      </c>
      <c r="I1950" s="76" t="s">
        <v>552</v>
      </c>
      <c r="J1950" s="76" t="s">
        <v>360</v>
      </c>
      <c r="K1950" s="76" t="s">
        <v>3627</v>
      </c>
      <c r="L1950" s="76" t="s">
        <v>461</v>
      </c>
      <c r="M1950" s="76" t="s">
        <v>553</v>
      </c>
      <c r="N1950" s="76">
        <v>70</v>
      </c>
      <c r="O1950" s="76">
        <v>69</v>
      </c>
      <c r="P1950" s="78">
        <v>1.43E-2</v>
      </c>
    </row>
    <row r="1951" spans="7:16" x14ac:dyDescent="0.3">
      <c r="G1951" t="s">
        <v>3628</v>
      </c>
      <c r="H1951" s="76" t="s">
        <v>429</v>
      </c>
      <c r="I1951" s="76" t="s">
        <v>430</v>
      </c>
      <c r="J1951" s="76" t="s">
        <v>384</v>
      </c>
      <c r="K1951" s="76" t="s">
        <v>1428</v>
      </c>
      <c r="L1951" s="76" t="s">
        <v>391</v>
      </c>
      <c r="M1951" s="76" t="s">
        <v>536</v>
      </c>
      <c r="N1951" s="76">
        <v>30</v>
      </c>
      <c r="O1951" s="76">
        <v>29</v>
      </c>
      <c r="P1951" s="78">
        <v>3.3300000000000003E-2</v>
      </c>
    </row>
    <row r="1952" spans="7:16" x14ac:dyDescent="0.3">
      <c r="G1952" t="s">
        <v>3629</v>
      </c>
      <c r="H1952" s="76" t="s">
        <v>444</v>
      </c>
      <c r="I1952" s="76" t="s">
        <v>445</v>
      </c>
      <c r="J1952" s="76" t="s">
        <v>384</v>
      </c>
      <c r="K1952" s="76" t="s">
        <v>1636</v>
      </c>
      <c r="L1952" s="76" t="s">
        <v>373</v>
      </c>
      <c r="M1952" s="76" t="s">
        <v>1564</v>
      </c>
      <c r="N1952" s="76">
        <v>700</v>
      </c>
      <c r="O1952" s="76">
        <v>665</v>
      </c>
      <c r="P1952" s="78">
        <v>0.05</v>
      </c>
    </row>
    <row r="1953" spans="7:16" x14ac:dyDescent="0.3">
      <c r="G1953" t="s">
        <v>3630</v>
      </c>
      <c r="H1953" s="76" t="s">
        <v>489</v>
      </c>
      <c r="I1953" s="76" t="s">
        <v>490</v>
      </c>
      <c r="J1953" s="76" t="s">
        <v>360</v>
      </c>
      <c r="K1953" s="77">
        <v>42563</v>
      </c>
      <c r="L1953" s="76" t="s">
        <v>475</v>
      </c>
      <c r="M1953" s="76" t="s">
        <v>1472</v>
      </c>
      <c r="N1953" s="76">
        <v>250</v>
      </c>
      <c r="O1953" s="76">
        <v>235</v>
      </c>
      <c r="P1953" s="78">
        <v>0.06</v>
      </c>
    </row>
    <row r="1954" spans="7:16" x14ac:dyDescent="0.3">
      <c r="G1954" t="s">
        <v>3631</v>
      </c>
      <c r="H1954" s="76" t="s">
        <v>494</v>
      </c>
      <c r="I1954" s="76" t="s">
        <v>465</v>
      </c>
      <c r="J1954" s="76" t="s">
        <v>366</v>
      </c>
      <c r="K1954" s="77">
        <v>43199</v>
      </c>
      <c r="L1954" s="76" t="s">
        <v>475</v>
      </c>
      <c r="M1954" s="76" t="s">
        <v>1027</v>
      </c>
      <c r="N1954" s="76">
        <v>250</v>
      </c>
      <c r="O1954" s="76">
        <v>218</v>
      </c>
      <c r="P1954" s="78">
        <v>0.128</v>
      </c>
    </row>
    <row r="1955" spans="7:16" x14ac:dyDescent="0.3">
      <c r="G1955" t="s">
        <v>3632</v>
      </c>
      <c r="H1955" s="76" t="s">
        <v>891</v>
      </c>
      <c r="I1955" s="76" t="s">
        <v>892</v>
      </c>
      <c r="J1955" s="76" t="s">
        <v>372</v>
      </c>
      <c r="K1955" s="76" t="s">
        <v>1001</v>
      </c>
      <c r="L1955" s="76" t="s">
        <v>405</v>
      </c>
      <c r="M1955" s="76" t="s">
        <v>1096</v>
      </c>
      <c r="N1955" s="76">
        <v>800</v>
      </c>
      <c r="O1955" s="76">
        <v>616</v>
      </c>
      <c r="P1955" s="78">
        <v>0.23</v>
      </c>
    </row>
    <row r="1956" spans="7:16" x14ac:dyDescent="0.3">
      <c r="G1956" t="s">
        <v>3633</v>
      </c>
      <c r="H1956" s="76" t="s">
        <v>485</v>
      </c>
      <c r="I1956" s="76" t="s">
        <v>389</v>
      </c>
      <c r="J1956" s="76" t="s">
        <v>384</v>
      </c>
      <c r="K1956" s="76" t="s">
        <v>3634</v>
      </c>
      <c r="L1956" s="76" t="s">
        <v>396</v>
      </c>
      <c r="M1956" s="76" t="s">
        <v>1467</v>
      </c>
      <c r="N1956" s="76">
        <v>500</v>
      </c>
      <c r="O1956" s="76">
        <v>395</v>
      </c>
      <c r="P1956" s="78">
        <v>0.21</v>
      </c>
    </row>
    <row r="1957" spans="7:16" x14ac:dyDescent="0.3">
      <c r="G1957" t="s">
        <v>3635</v>
      </c>
      <c r="H1957" s="76" t="s">
        <v>414</v>
      </c>
      <c r="I1957" s="76" t="s">
        <v>415</v>
      </c>
      <c r="J1957" s="76" t="s">
        <v>384</v>
      </c>
      <c r="K1957" s="76" t="s">
        <v>3636</v>
      </c>
      <c r="L1957" s="76" t="s">
        <v>461</v>
      </c>
      <c r="M1957" s="76" t="s">
        <v>1018</v>
      </c>
      <c r="N1957" s="76">
        <v>70</v>
      </c>
      <c r="O1957" s="76">
        <v>69</v>
      </c>
      <c r="P1957" s="78">
        <v>1.43E-2</v>
      </c>
    </row>
    <row r="1958" spans="7:16" x14ac:dyDescent="0.3">
      <c r="G1958" t="s">
        <v>3637</v>
      </c>
      <c r="H1958" s="76" t="s">
        <v>611</v>
      </c>
      <c r="I1958" s="76" t="s">
        <v>389</v>
      </c>
      <c r="J1958" s="76" t="s">
        <v>384</v>
      </c>
      <c r="K1958" s="76" t="s">
        <v>3638</v>
      </c>
      <c r="L1958" s="76" t="s">
        <v>373</v>
      </c>
      <c r="M1958" s="76" t="s">
        <v>1883</v>
      </c>
      <c r="N1958" s="76">
        <v>700</v>
      </c>
      <c r="O1958" s="76">
        <v>609</v>
      </c>
      <c r="P1958" s="78">
        <v>0.13</v>
      </c>
    </row>
    <row r="1959" spans="7:16" x14ac:dyDescent="0.3">
      <c r="G1959" t="s">
        <v>3639</v>
      </c>
      <c r="H1959" s="76" t="s">
        <v>668</v>
      </c>
      <c r="I1959" s="76" t="s">
        <v>669</v>
      </c>
      <c r="J1959" s="76" t="s">
        <v>360</v>
      </c>
      <c r="K1959" s="76" t="s">
        <v>3640</v>
      </c>
      <c r="L1959" s="76" t="s">
        <v>396</v>
      </c>
      <c r="M1959" s="76" t="s">
        <v>671</v>
      </c>
      <c r="N1959" s="76">
        <v>500</v>
      </c>
      <c r="O1959" s="76">
        <v>455</v>
      </c>
      <c r="P1959" s="78">
        <v>0.09</v>
      </c>
    </row>
    <row r="1960" spans="7:16" x14ac:dyDescent="0.3">
      <c r="G1960" t="s">
        <v>3641</v>
      </c>
      <c r="H1960" s="76" t="s">
        <v>611</v>
      </c>
      <c r="I1960" s="76" t="s">
        <v>389</v>
      </c>
      <c r="J1960" s="76" t="s">
        <v>384</v>
      </c>
      <c r="K1960" s="77">
        <v>43377</v>
      </c>
      <c r="L1960" s="76" t="s">
        <v>361</v>
      </c>
      <c r="M1960" s="76" t="s">
        <v>3642</v>
      </c>
      <c r="N1960" s="76">
        <v>80</v>
      </c>
      <c r="O1960" s="76">
        <v>73</v>
      </c>
      <c r="P1960" s="78">
        <v>8.7499999999999994E-2</v>
      </c>
    </row>
    <row r="1961" spans="7:16" x14ac:dyDescent="0.3">
      <c r="G1961" t="s">
        <v>3643</v>
      </c>
      <c r="H1961" s="76" t="s">
        <v>478</v>
      </c>
      <c r="I1961" s="76" t="s">
        <v>479</v>
      </c>
      <c r="J1961" s="76" t="s">
        <v>384</v>
      </c>
      <c r="K1961" s="77">
        <v>42045</v>
      </c>
      <c r="L1961" s="76" t="s">
        <v>391</v>
      </c>
      <c r="M1961" s="76" t="s">
        <v>2546</v>
      </c>
      <c r="N1961" s="76">
        <v>30</v>
      </c>
      <c r="O1961" s="76">
        <v>29</v>
      </c>
      <c r="P1961" s="78">
        <v>3.3300000000000003E-2</v>
      </c>
    </row>
    <row r="1962" spans="7:16" x14ac:dyDescent="0.3">
      <c r="G1962" t="s">
        <v>3644</v>
      </c>
      <c r="H1962" s="76" t="s">
        <v>409</v>
      </c>
      <c r="I1962" s="76" t="s">
        <v>410</v>
      </c>
      <c r="J1962" s="76" t="s">
        <v>360</v>
      </c>
      <c r="K1962" s="76" t="s">
        <v>2415</v>
      </c>
      <c r="L1962" s="76" t="s">
        <v>396</v>
      </c>
      <c r="M1962" s="76" t="s">
        <v>1246</v>
      </c>
      <c r="N1962" s="76">
        <v>500</v>
      </c>
      <c r="O1962" s="76">
        <v>385</v>
      </c>
      <c r="P1962" s="78">
        <v>0.23</v>
      </c>
    </row>
    <row r="1963" spans="7:16" x14ac:dyDescent="0.3">
      <c r="G1963" t="s">
        <v>3645</v>
      </c>
      <c r="H1963" s="76" t="s">
        <v>514</v>
      </c>
      <c r="I1963" s="76" t="s">
        <v>515</v>
      </c>
      <c r="J1963" s="76" t="s">
        <v>360</v>
      </c>
      <c r="K1963" s="77">
        <v>42492</v>
      </c>
      <c r="L1963" s="76" t="s">
        <v>405</v>
      </c>
      <c r="M1963" s="76" t="s">
        <v>2073</v>
      </c>
      <c r="N1963" s="76">
        <v>800</v>
      </c>
      <c r="O1963" s="76">
        <v>768</v>
      </c>
      <c r="P1963" s="78">
        <v>0.04</v>
      </c>
    </row>
    <row r="1964" spans="7:16" x14ac:dyDescent="0.3">
      <c r="G1964" t="s">
        <v>3646</v>
      </c>
      <c r="H1964" s="76" t="s">
        <v>3257</v>
      </c>
      <c r="I1964" s="76" t="s">
        <v>465</v>
      </c>
      <c r="J1964" s="76" t="s">
        <v>366</v>
      </c>
      <c r="K1964" s="77">
        <v>42221</v>
      </c>
      <c r="L1964" s="76" t="s">
        <v>461</v>
      </c>
      <c r="M1964" s="76" t="s">
        <v>3647</v>
      </c>
      <c r="N1964" s="76">
        <v>70</v>
      </c>
      <c r="O1964" s="76">
        <v>53</v>
      </c>
      <c r="P1964" s="78">
        <v>0.2429</v>
      </c>
    </row>
    <row r="1965" spans="7:16" x14ac:dyDescent="0.3">
      <c r="G1965" t="s">
        <v>3648</v>
      </c>
      <c r="H1965" s="76" t="s">
        <v>747</v>
      </c>
      <c r="I1965" s="76" t="s">
        <v>748</v>
      </c>
      <c r="J1965" s="76" t="s">
        <v>360</v>
      </c>
      <c r="K1965" s="77">
        <v>42835</v>
      </c>
      <c r="L1965" s="76" t="s">
        <v>475</v>
      </c>
      <c r="M1965" s="76" t="s">
        <v>800</v>
      </c>
      <c r="N1965" s="76">
        <v>250</v>
      </c>
      <c r="O1965" s="76">
        <v>248</v>
      </c>
      <c r="P1965" s="78">
        <v>8.0000000000000002E-3</v>
      </c>
    </row>
    <row r="1966" spans="7:16" x14ac:dyDescent="0.3">
      <c r="G1966" t="s">
        <v>3649</v>
      </c>
      <c r="H1966" s="76" t="s">
        <v>489</v>
      </c>
      <c r="I1966" s="76" t="s">
        <v>490</v>
      </c>
      <c r="J1966" s="76" t="s">
        <v>360</v>
      </c>
      <c r="K1966" s="76" t="s">
        <v>3650</v>
      </c>
      <c r="L1966" s="76" t="s">
        <v>475</v>
      </c>
      <c r="M1966" s="76" t="s">
        <v>1998</v>
      </c>
      <c r="N1966" s="76">
        <v>250</v>
      </c>
      <c r="O1966" s="76">
        <v>213</v>
      </c>
      <c r="P1966" s="78">
        <v>0.14799999999999999</v>
      </c>
    </row>
    <row r="1967" spans="7:16" x14ac:dyDescent="0.3">
      <c r="G1967" t="s">
        <v>3651</v>
      </c>
      <c r="H1967" s="76" t="s">
        <v>619</v>
      </c>
      <c r="I1967" s="76" t="s">
        <v>620</v>
      </c>
      <c r="J1967" s="76" t="s">
        <v>372</v>
      </c>
      <c r="K1967" s="77">
        <v>41946</v>
      </c>
      <c r="L1967" s="76" t="s">
        <v>483</v>
      </c>
      <c r="M1967" s="76" t="s">
        <v>1230</v>
      </c>
      <c r="N1967" s="76">
        <v>50</v>
      </c>
      <c r="O1967" s="76">
        <v>36</v>
      </c>
      <c r="P1967" s="78">
        <v>0.28000000000000003</v>
      </c>
    </row>
    <row r="1968" spans="7:16" x14ac:dyDescent="0.3">
      <c r="G1968" t="s">
        <v>3652</v>
      </c>
      <c r="H1968" s="76" t="s">
        <v>494</v>
      </c>
      <c r="I1968" s="76" t="s">
        <v>465</v>
      </c>
      <c r="J1968" s="76" t="s">
        <v>366</v>
      </c>
      <c r="K1968" s="77">
        <v>42217</v>
      </c>
      <c r="L1968" s="76" t="s">
        <v>461</v>
      </c>
      <c r="M1968" s="76" t="s">
        <v>1041</v>
      </c>
      <c r="N1968" s="76">
        <v>70</v>
      </c>
      <c r="O1968" s="76">
        <v>66</v>
      </c>
      <c r="P1968" s="78">
        <v>5.7099999999999998E-2</v>
      </c>
    </row>
    <row r="1969" spans="7:16" x14ac:dyDescent="0.3">
      <c r="G1969" t="s">
        <v>3653</v>
      </c>
      <c r="H1969" s="76" t="s">
        <v>566</v>
      </c>
      <c r="I1969" s="76" t="s">
        <v>567</v>
      </c>
      <c r="J1969" s="76" t="s">
        <v>360</v>
      </c>
      <c r="K1969" s="77">
        <v>42624</v>
      </c>
      <c r="L1969" s="76" t="s">
        <v>396</v>
      </c>
      <c r="M1969" s="76" t="s">
        <v>633</v>
      </c>
      <c r="N1969" s="76">
        <v>500</v>
      </c>
      <c r="O1969" s="76">
        <v>445</v>
      </c>
      <c r="P1969" s="78">
        <v>0.11</v>
      </c>
    </row>
    <row r="1970" spans="7:16" x14ac:dyDescent="0.3">
      <c r="G1970" t="s">
        <v>3654</v>
      </c>
      <c r="H1970" s="76" t="s">
        <v>438</v>
      </c>
      <c r="I1970" s="76" t="s">
        <v>439</v>
      </c>
      <c r="J1970" s="76" t="s">
        <v>360</v>
      </c>
      <c r="K1970" s="76" t="s">
        <v>3655</v>
      </c>
      <c r="L1970" s="76" t="s">
        <v>385</v>
      </c>
      <c r="M1970" s="76" t="s">
        <v>798</v>
      </c>
      <c r="N1970" s="76">
        <v>50</v>
      </c>
      <c r="O1970" s="76">
        <v>30</v>
      </c>
      <c r="P1970" s="78">
        <v>0.4</v>
      </c>
    </row>
    <row r="1971" spans="7:16" x14ac:dyDescent="0.3">
      <c r="G1971" t="s">
        <v>3656</v>
      </c>
      <c r="H1971" s="76" t="s">
        <v>891</v>
      </c>
      <c r="I1971" s="76" t="s">
        <v>892</v>
      </c>
      <c r="J1971" s="76" t="s">
        <v>372</v>
      </c>
      <c r="K1971" s="77">
        <v>41643</v>
      </c>
      <c r="L1971" s="76" t="s">
        <v>475</v>
      </c>
      <c r="M1971" s="76" t="s">
        <v>1096</v>
      </c>
      <c r="N1971" s="76">
        <v>250</v>
      </c>
      <c r="O1971" s="76">
        <v>243</v>
      </c>
      <c r="P1971" s="78">
        <v>2.8000000000000001E-2</v>
      </c>
    </row>
    <row r="1972" spans="7:16" x14ac:dyDescent="0.3">
      <c r="G1972" t="s">
        <v>3657</v>
      </c>
      <c r="H1972" s="76" t="s">
        <v>485</v>
      </c>
      <c r="I1972" s="76" t="s">
        <v>389</v>
      </c>
      <c r="J1972" s="76" t="s">
        <v>384</v>
      </c>
      <c r="K1972" s="76" t="s">
        <v>3507</v>
      </c>
      <c r="L1972" s="76" t="s">
        <v>385</v>
      </c>
      <c r="M1972" s="76" t="s">
        <v>3555</v>
      </c>
      <c r="N1972" s="76">
        <v>50</v>
      </c>
      <c r="O1972" s="76">
        <v>45</v>
      </c>
      <c r="P1972" s="78">
        <v>0.1</v>
      </c>
    </row>
    <row r="1973" spans="7:16" x14ac:dyDescent="0.3">
      <c r="G1973" t="s">
        <v>3658</v>
      </c>
      <c r="H1973" s="76" t="s">
        <v>551</v>
      </c>
      <c r="I1973" s="76" t="s">
        <v>552</v>
      </c>
      <c r="J1973" s="76" t="s">
        <v>360</v>
      </c>
      <c r="K1973" s="77">
        <v>43081</v>
      </c>
      <c r="L1973" s="76" t="s">
        <v>483</v>
      </c>
      <c r="M1973" s="76" t="s">
        <v>2021</v>
      </c>
      <c r="N1973" s="76">
        <v>50</v>
      </c>
      <c r="O1973" s="76">
        <v>50</v>
      </c>
      <c r="P1973" s="78">
        <v>0</v>
      </c>
    </row>
    <row r="1974" spans="7:16" x14ac:dyDescent="0.3">
      <c r="G1974" t="s">
        <v>3659</v>
      </c>
      <c r="H1974" s="76" t="s">
        <v>638</v>
      </c>
      <c r="I1974" s="76" t="s">
        <v>639</v>
      </c>
      <c r="J1974" s="76" t="s">
        <v>360</v>
      </c>
      <c r="K1974" s="76" t="s">
        <v>2912</v>
      </c>
      <c r="L1974" s="76" t="s">
        <v>475</v>
      </c>
      <c r="M1974" s="76" t="s">
        <v>818</v>
      </c>
      <c r="N1974" s="76">
        <v>250</v>
      </c>
      <c r="O1974" s="76">
        <v>220</v>
      </c>
      <c r="P1974" s="78">
        <v>0.12</v>
      </c>
    </row>
    <row r="1975" spans="7:16" x14ac:dyDescent="0.3">
      <c r="G1975" t="s">
        <v>3660</v>
      </c>
      <c r="H1975" s="76" t="s">
        <v>434</v>
      </c>
      <c r="I1975" s="76" t="s">
        <v>435</v>
      </c>
      <c r="J1975" s="76" t="s">
        <v>360</v>
      </c>
      <c r="K1975" s="76" t="s">
        <v>1315</v>
      </c>
      <c r="L1975" s="76" t="s">
        <v>396</v>
      </c>
      <c r="M1975" s="76" t="s">
        <v>1055</v>
      </c>
      <c r="N1975" s="76">
        <v>500</v>
      </c>
      <c r="O1975" s="76">
        <v>450</v>
      </c>
      <c r="P1975" s="78">
        <v>0.1</v>
      </c>
    </row>
    <row r="1976" spans="7:16" x14ac:dyDescent="0.3">
      <c r="G1976" t="s">
        <v>3661</v>
      </c>
      <c r="H1976" s="76" t="s">
        <v>414</v>
      </c>
      <c r="I1976" s="76" t="s">
        <v>415</v>
      </c>
      <c r="J1976" s="76" t="s">
        <v>384</v>
      </c>
      <c r="K1976" s="77">
        <v>43438</v>
      </c>
      <c r="L1976" s="76" t="s">
        <v>385</v>
      </c>
      <c r="M1976" s="76" t="s">
        <v>2590</v>
      </c>
      <c r="N1976" s="76">
        <v>50</v>
      </c>
      <c r="O1976" s="76">
        <v>48</v>
      </c>
      <c r="P1976" s="78">
        <v>0.04</v>
      </c>
    </row>
    <row r="1977" spans="7:16" x14ac:dyDescent="0.3">
      <c r="G1977" t="s">
        <v>3662</v>
      </c>
      <c r="H1977" s="76" t="s">
        <v>485</v>
      </c>
      <c r="I1977" s="76" t="s">
        <v>389</v>
      </c>
      <c r="J1977" s="76" t="s">
        <v>384</v>
      </c>
      <c r="K1977" s="76" t="s">
        <v>1895</v>
      </c>
      <c r="L1977" s="76" t="s">
        <v>361</v>
      </c>
      <c r="M1977" s="76" t="s">
        <v>1673</v>
      </c>
      <c r="N1977" s="76">
        <v>80</v>
      </c>
      <c r="O1977" s="76">
        <v>78</v>
      </c>
      <c r="P1977" s="78">
        <v>2.5000000000000001E-2</v>
      </c>
    </row>
    <row r="1978" spans="7:16" x14ac:dyDescent="0.3">
      <c r="G1978" t="s">
        <v>3663</v>
      </c>
      <c r="H1978" s="76" t="s">
        <v>358</v>
      </c>
      <c r="I1978" s="76" t="s">
        <v>359</v>
      </c>
      <c r="J1978" s="76" t="s">
        <v>360</v>
      </c>
      <c r="K1978" s="76" t="s">
        <v>1182</v>
      </c>
      <c r="L1978" s="76" t="s">
        <v>379</v>
      </c>
      <c r="M1978" s="76" t="s">
        <v>1858</v>
      </c>
      <c r="N1978" s="76">
        <v>150</v>
      </c>
      <c r="O1978" s="76">
        <v>149</v>
      </c>
      <c r="P1978" s="78">
        <v>6.7000000000000002E-3</v>
      </c>
    </row>
    <row r="1979" spans="7:16" x14ac:dyDescent="0.3">
      <c r="G1979" t="s">
        <v>3664</v>
      </c>
      <c r="H1979" s="76" t="s">
        <v>382</v>
      </c>
      <c r="I1979" s="76" t="s">
        <v>383</v>
      </c>
      <c r="J1979" s="76" t="s">
        <v>384</v>
      </c>
      <c r="K1979" s="76" t="s">
        <v>2077</v>
      </c>
      <c r="L1979" s="76" t="s">
        <v>405</v>
      </c>
      <c r="M1979" s="76" t="s">
        <v>533</v>
      </c>
      <c r="N1979" s="76">
        <v>800</v>
      </c>
      <c r="O1979" s="76">
        <v>592</v>
      </c>
      <c r="P1979" s="78">
        <v>0.26</v>
      </c>
    </row>
    <row r="1980" spans="7:16" x14ac:dyDescent="0.3">
      <c r="G1980" t="s">
        <v>3665</v>
      </c>
      <c r="H1980" s="76" t="s">
        <v>514</v>
      </c>
      <c r="I1980" s="76" t="s">
        <v>515</v>
      </c>
      <c r="J1980" s="76" t="s">
        <v>360</v>
      </c>
      <c r="K1980" s="77">
        <v>42583</v>
      </c>
      <c r="L1980" s="76" t="s">
        <v>405</v>
      </c>
      <c r="M1980" s="76" t="s">
        <v>2475</v>
      </c>
      <c r="N1980" s="76">
        <v>800</v>
      </c>
      <c r="O1980" s="76">
        <v>800</v>
      </c>
      <c r="P1980" s="78">
        <v>0</v>
      </c>
    </row>
    <row r="1981" spans="7:16" x14ac:dyDescent="0.3">
      <c r="G1981" t="s">
        <v>3666</v>
      </c>
      <c r="H1981" s="76" t="s">
        <v>619</v>
      </c>
      <c r="I1981" s="76" t="s">
        <v>620</v>
      </c>
      <c r="J1981" s="76" t="s">
        <v>372</v>
      </c>
      <c r="K1981" s="76" t="s">
        <v>3667</v>
      </c>
      <c r="L1981" s="76" t="s">
        <v>461</v>
      </c>
      <c r="M1981" s="76" t="s">
        <v>1476</v>
      </c>
      <c r="N1981" s="76">
        <v>70</v>
      </c>
      <c r="O1981" s="76">
        <v>63</v>
      </c>
      <c r="P1981" s="78">
        <v>0.1</v>
      </c>
    </row>
    <row r="1982" spans="7:16" x14ac:dyDescent="0.3">
      <c r="G1982" t="s">
        <v>3668</v>
      </c>
      <c r="H1982" s="76" t="s">
        <v>464</v>
      </c>
      <c r="I1982" s="76" t="s">
        <v>465</v>
      </c>
      <c r="J1982" s="76" t="s">
        <v>366</v>
      </c>
      <c r="K1982" s="77">
        <v>41801</v>
      </c>
      <c r="L1982" s="76" t="s">
        <v>373</v>
      </c>
      <c r="M1982" s="76" t="s">
        <v>1575</v>
      </c>
      <c r="N1982" s="76">
        <v>700</v>
      </c>
      <c r="O1982" s="76">
        <v>651</v>
      </c>
      <c r="P1982" s="78">
        <v>7.0000000000000007E-2</v>
      </c>
    </row>
    <row r="1983" spans="7:16" x14ac:dyDescent="0.3">
      <c r="G1983" t="s">
        <v>3669</v>
      </c>
      <c r="H1983" s="76" t="s">
        <v>464</v>
      </c>
      <c r="I1983" s="76" t="s">
        <v>465</v>
      </c>
      <c r="J1983" s="76" t="s">
        <v>366</v>
      </c>
      <c r="K1983" s="77">
        <v>42320</v>
      </c>
      <c r="L1983" s="76" t="s">
        <v>361</v>
      </c>
      <c r="M1983" s="76" t="s">
        <v>1510</v>
      </c>
      <c r="N1983" s="76">
        <v>80</v>
      </c>
      <c r="O1983" s="76">
        <v>54</v>
      </c>
      <c r="P1983" s="78">
        <v>0.32500000000000001</v>
      </c>
    </row>
    <row r="1984" spans="7:16" x14ac:dyDescent="0.3">
      <c r="G1984" t="s">
        <v>3670</v>
      </c>
      <c r="H1984" s="76" t="s">
        <v>399</v>
      </c>
      <c r="I1984" s="76" t="s">
        <v>400</v>
      </c>
      <c r="J1984" s="76" t="s">
        <v>372</v>
      </c>
      <c r="K1984" s="77">
        <v>42522</v>
      </c>
      <c r="L1984" s="76" t="s">
        <v>483</v>
      </c>
      <c r="M1984" s="76" t="s">
        <v>843</v>
      </c>
      <c r="N1984" s="76">
        <v>50</v>
      </c>
      <c r="O1984" s="76">
        <v>50</v>
      </c>
      <c r="P1984" s="78">
        <v>0</v>
      </c>
    </row>
    <row r="1985" spans="7:16" x14ac:dyDescent="0.3">
      <c r="G1985" t="s">
        <v>3671</v>
      </c>
      <c r="H1985" s="76" t="s">
        <v>444</v>
      </c>
      <c r="I1985" s="76" t="s">
        <v>445</v>
      </c>
      <c r="J1985" s="76" t="s">
        <v>384</v>
      </c>
      <c r="K1985" s="77">
        <v>42156</v>
      </c>
      <c r="L1985" s="76" t="s">
        <v>396</v>
      </c>
      <c r="M1985" s="76" t="s">
        <v>447</v>
      </c>
      <c r="N1985" s="76">
        <v>500</v>
      </c>
      <c r="O1985" s="76">
        <v>320</v>
      </c>
      <c r="P1985" s="78">
        <v>0.36</v>
      </c>
    </row>
    <row r="1986" spans="7:16" x14ac:dyDescent="0.3">
      <c r="G1986" t="s">
        <v>3672</v>
      </c>
      <c r="H1986" s="76" t="s">
        <v>514</v>
      </c>
      <c r="I1986" s="76" t="s">
        <v>515</v>
      </c>
      <c r="J1986" s="76" t="s">
        <v>360</v>
      </c>
      <c r="K1986" s="77">
        <v>43436</v>
      </c>
      <c r="L1986" s="76" t="s">
        <v>385</v>
      </c>
      <c r="M1986" s="76" t="s">
        <v>2094</v>
      </c>
      <c r="N1986" s="76">
        <v>50</v>
      </c>
      <c r="O1986" s="76">
        <v>43</v>
      </c>
      <c r="P1986" s="78">
        <v>0.14000000000000001</v>
      </c>
    </row>
    <row r="1987" spans="7:16" x14ac:dyDescent="0.3">
      <c r="G1987" t="s">
        <v>3673</v>
      </c>
      <c r="H1987" s="76" t="s">
        <v>478</v>
      </c>
      <c r="I1987" s="76" t="s">
        <v>479</v>
      </c>
      <c r="J1987" s="76" t="s">
        <v>384</v>
      </c>
      <c r="K1987" s="76" t="s">
        <v>3674</v>
      </c>
      <c r="L1987" s="76" t="s">
        <v>361</v>
      </c>
      <c r="M1987" s="76" t="s">
        <v>1527</v>
      </c>
      <c r="N1987" s="76">
        <v>80</v>
      </c>
      <c r="O1987" s="76">
        <v>78</v>
      </c>
      <c r="P1987" s="78">
        <v>2.5000000000000001E-2</v>
      </c>
    </row>
    <row r="1988" spans="7:16" x14ac:dyDescent="0.3">
      <c r="G1988" t="s">
        <v>3675</v>
      </c>
      <c r="H1988" s="76" t="s">
        <v>403</v>
      </c>
      <c r="I1988" s="76" t="s">
        <v>404</v>
      </c>
      <c r="J1988" s="76" t="s">
        <v>360</v>
      </c>
      <c r="K1988" s="77">
        <v>42042</v>
      </c>
      <c r="L1988" s="76" t="s">
        <v>475</v>
      </c>
      <c r="M1988" s="76" t="s">
        <v>1375</v>
      </c>
      <c r="N1988" s="76">
        <v>250</v>
      </c>
      <c r="O1988" s="76">
        <v>248</v>
      </c>
      <c r="P1988" s="78">
        <v>8.0000000000000002E-3</v>
      </c>
    </row>
    <row r="1989" spans="7:16" x14ac:dyDescent="0.3">
      <c r="G1989" t="s">
        <v>3676</v>
      </c>
      <c r="H1989" s="76" t="s">
        <v>394</v>
      </c>
      <c r="I1989" s="76" t="s">
        <v>395</v>
      </c>
      <c r="J1989" s="76" t="s">
        <v>372</v>
      </c>
      <c r="K1989" s="77">
        <v>42741</v>
      </c>
      <c r="L1989" s="76" t="s">
        <v>391</v>
      </c>
      <c r="M1989" s="76" t="s">
        <v>1744</v>
      </c>
      <c r="N1989" s="76">
        <v>30</v>
      </c>
      <c r="O1989" s="76">
        <v>27</v>
      </c>
      <c r="P1989" s="78">
        <v>0.1</v>
      </c>
    </row>
    <row r="1990" spans="7:16" x14ac:dyDescent="0.3">
      <c r="G1990" t="s">
        <v>3677</v>
      </c>
      <c r="H1990" s="76" t="s">
        <v>656</v>
      </c>
      <c r="I1990" s="76" t="s">
        <v>657</v>
      </c>
      <c r="J1990" s="76" t="s">
        <v>360</v>
      </c>
      <c r="K1990" s="77">
        <v>43193</v>
      </c>
      <c r="L1990" s="76" t="s">
        <v>424</v>
      </c>
      <c r="M1990" s="76" t="s">
        <v>1389</v>
      </c>
      <c r="N1990" s="76">
        <v>500</v>
      </c>
      <c r="O1990" s="76">
        <v>495</v>
      </c>
      <c r="P1990" s="78">
        <v>0.01</v>
      </c>
    </row>
    <row r="1991" spans="7:16" x14ac:dyDescent="0.3">
      <c r="G1991" t="s">
        <v>3678</v>
      </c>
      <c r="H1991" s="76" t="s">
        <v>444</v>
      </c>
      <c r="I1991" s="76" t="s">
        <v>445</v>
      </c>
      <c r="J1991" s="76" t="s">
        <v>384</v>
      </c>
      <c r="K1991" s="77">
        <v>43143</v>
      </c>
      <c r="L1991" s="76" t="s">
        <v>405</v>
      </c>
      <c r="M1991" s="76" t="s">
        <v>695</v>
      </c>
      <c r="N1991" s="76">
        <v>800</v>
      </c>
      <c r="O1991" s="76">
        <v>480</v>
      </c>
      <c r="P1991" s="78">
        <v>0.4</v>
      </c>
    </row>
    <row r="1992" spans="7:16" x14ac:dyDescent="0.3">
      <c r="G1992" t="s">
        <v>3679</v>
      </c>
      <c r="H1992" s="76" t="s">
        <v>528</v>
      </c>
      <c r="I1992" s="76" t="s">
        <v>465</v>
      </c>
      <c r="J1992" s="76" t="s">
        <v>366</v>
      </c>
      <c r="K1992" s="77">
        <v>42430</v>
      </c>
      <c r="L1992" s="76" t="s">
        <v>475</v>
      </c>
      <c r="M1992" s="76" t="s">
        <v>530</v>
      </c>
      <c r="N1992" s="76">
        <v>250</v>
      </c>
      <c r="O1992" s="76">
        <v>215</v>
      </c>
      <c r="P1992" s="78">
        <v>0.14000000000000001</v>
      </c>
    </row>
    <row r="1993" spans="7:16" x14ac:dyDescent="0.3">
      <c r="G1993" t="s">
        <v>3680</v>
      </c>
      <c r="H1993" s="76" t="s">
        <v>454</v>
      </c>
      <c r="I1993" s="76" t="s">
        <v>455</v>
      </c>
      <c r="J1993" s="76" t="s">
        <v>360</v>
      </c>
      <c r="K1993" s="77">
        <v>42278</v>
      </c>
      <c r="L1993" s="76" t="s">
        <v>396</v>
      </c>
      <c r="M1993" s="76" t="s">
        <v>1772</v>
      </c>
      <c r="N1993" s="76">
        <v>500</v>
      </c>
      <c r="O1993" s="76">
        <v>420</v>
      </c>
      <c r="P1993" s="78">
        <v>0.16</v>
      </c>
    </row>
    <row r="1994" spans="7:16" x14ac:dyDescent="0.3">
      <c r="G1994" t="s">
        <v>3681</v>
      </c>
      <c r="H1994" s="76" t="s">
        <v>747</v>
      </c>
      <c r="I1994" s="76" t="s">
        <v>748</v>
      </c>
      <c r="J1994" s="76" t="s">
        <v>360</v>
      </c>
      <c r="K1994" s="77">
        <v>41975</v>
      </c>
      <c r="L1994" s="76" t="s">
        <v>405</v>
      </c>
      <c r="M1994" s="76" t="s">
        <v>2271</v>
      </c>
      <c r="N1994" s="76">
        <v>800</v>
      </c>
      <c r="O1994" s="76">
        <v>648</v>
      </c>
      <c r="P1994" s="78">
        <v>0.19</v>
      </c>
    </row>
    <row r="1995" spans="7:16" x14ac:dyDescent="0.3">
      <c r="G1995" t="s">
        <v>3682</v>
      </c>
      <c r="H1995" s="76" t="s">
        <v>434</v>
      </c>
      <c r="I1995" s="76" t="s">
        <v>435</v>
      </c>
      <c r="J1995" s="76" t="s">
        <v>360</v>
      </c>
      <c r="K1995" s="77">
        <v>43049</v>
      </c>
      <c r="L1995" s="76" t="s">
        <v>385</v>
      </c>
      <c r="M1995" s="76" t="s">
        <v>1955</v>
      </c>
      <c r="N1995" s="76">
        <v>50</v>
      </c>
      <c r="O1995" s="76">
        <v>49</v>
      </c>
      <c r="P1995" s="78">
        <v>0.02</v>
      </c>
    </row>
    <row r="1996" spans="7:16" x14ac:dyDescent="0.3">
      <c r="G1996" t="s">
        <v>3683</v>
      </c>
      <c r="H1996" s="76" t="s">
        <v>409</v>
      </c>
      <c r="I1996" s="76" t="s">
        <v>410</v>
      </c>
      <c r="J1996" s="76" t="s">
        <v>360</v>
      </c>
      <c r="K1996" s="76" t="s">
        <v>3684</v>
      </c>
      <c r="L1996" s="76" t="s">
        <v>396</v>
      </c>
      <c r="M1996" s="76" t="s">
        <v>2748</v>
      </c>
      <c r="N1996" s="76">
        <v>500</v>
      </c>
      <c r="O1996" s="76">
        <v>465</v>
      </c>
      <c r="P1996" s="78">
        <v>7.0000000000000007E-2</v>
      </c>
    </row>
    <row r="1997" spans="7:16" x14ac:dyDescent="0.3">
      <c r="G1997" t="s">
        <v>3685</v>
      </c>
      <c r="H1997" s="76" t="s">
        <v>615</v>
      </c>
      <c r="I1997" s="76" t="s">
        <v>400</v>
      </c>
      <c r="J1997" s="76" t="s">
        <v>372</v>
      </c>
      <c r="K1997" s="76" t="s">
        <v>3686</v>
      </c>
      <c r="L1997" s="76" t="s">
        <v>475</v>
      </c>
      <c r="M1997" s="76" t="s">
        <v>1699</v>
      </c>
      <c r="N1997" s="76">
        <v>250</v>
      </c>
      <c r="O1997" s="76">
        <v>215</v>
      </c>
      <c r="P1997" s="78">
        <v>0.14000000000000001</v>
      </c>
    </row>
    <row r="1998" spans="7:16" x14ac:dyDescent="0.3">
      <c r="G1998" t="s">
        <v>3687</v>
      </c>
      <c r="H1998" s="76" t="s">
        <v>469</v>
      </c>
      <c r="I1998" s="76" t="s">
        <v>435</v>
      </c>
      <c r="J1998" s="76" t="s">
        <v>360</v>
      </c>
      <c r="K1998" s="76" t="s">
        <v>1636</v>
      </c>
      <c r="L1998" s="76" t="s">
        <v>379</v>
      </c>
      <c r="M1998" s="76" t="s">
        <v>808</v>
      </c>
      <c r="N1998" s="76">
        <v>150</v>
      </c>
      <c r="O1998" s="76">
        <v>149</v>
      </c>
      <c r="P1998" s="78">
        <v>6.7000000000000002E-3</v>
      </c>
    </row>
    <row r="1999" spans="7:16" x14ac:dyDescent="0.3">
      <c r="G1999" t="s">
        <v>3688</v>
      </c>
      <c r="H1999" s="76" t="s">
        <v>485</v>
      </c>
      <c r="I1999" s="76" t="s">
        <v>389</v>
      </c>
      <c r="J1999" s="76" t="s">
        <v>384</v>
      </c>
      <c r="K1999" s="76" t="s">
        <v>2171</v>
      </c>
      <c r="L1999" s="76" t="s">
        <v>483</v>
      </c>
      <c r="M1999" s="76" t="s">
        <v>1075</v>
      </c>
      <c r="N1999" s="76">
        <v>50</v>
      </c>
      <c r="O1999" s="76">
        <v>38</v>
      </c>
      <c r="P1999" s="78">
        <v>0.24</v>
      </c>
    </row>
    <row r="2000" spans="7:16" x14ac:dyDescent="0.3">
      <c r="G2000" t="s">
        <v>3689</v>
      </c>
      <c r="H2000" s="76" t="s">
        <v>429</v>
      </c>
      <c r="I2000" s="76" t="s">
        <v>430</v>
      </c>
      <c r="J2000" s="76" t="s">
        <v>384</v>
      </c>
      <c r="K2000" s="76" t="s">
        <v>3690</v>
      </c>
      <c r="L2000" s="76" t="s">
        <v>411</v>
      </c>
      <c r="M2000" s="76" t="s">
        <v>1776</v>
      </c>
      <c r="N2000" s="76">
        <v>1000</v>
      </c>
      <c r="O2000" s="76">
        <v>670</v>
      </c>
      <c r="P2000" s="78">
        <v>0.33</v>
      </c>
    </row>
    <row r="2001" spans="7:16" x14ac:dyDescent="0.3">
      <c r="G2001" t="s">
        <v>3691</v>
      </c>
      <c r="H2001" s="76" t="s">
        <v>429</v>
      </c>
      <c r="I2001" s="76" t="s">
        <v>430</v>
      </c>
      <c r="J2001" s="76" t="s">
        <v>384</v>
      </c>
      <c r="K2001" s="77">
        <v>43263</v>
      </c>
      <c r="L2001" s="76" t="s">
        <v>411</v>
      </c>
      <c r="M2001" s="76" t="s">
        <v>3490</v>
      </c>
      <c r="N2001" s="76">
        <v>1000</v>
      </c>
      <c r="O2001" s="76">
        <v>590</v>
      </c>
      <c r="P2001" s="78">
        <v>0.41</v>
      </c>
    </row>
    <row r="2002" spans="7:16" x14ac:dyDescent="0.3">
      <c r="G2002" t="s">
        <v>3692</v>
      </c>
      <c r="H2002" s="76" t="s">
        <v>675</v>
      </c>
      <c r="I2002" s="76" t="s">
        <v>676</v>
      </c>
      <c r="J2002" s="76" t="s">
        <v>384</v>
      </c>
      <c r="K2002" s="76" t="s">
        <v>3693</v>
      </c>
      <c r="L2002" s="76" t="s">
        <v>483</v>
      </c>
      <c r="M2002" s="76" t="s">
        <v>1266</v>
      </c>
      <c r="N2002" s="76">
        <v>50</v>
      </c>
      <c r="O2002" s="76">
        <v>49</v>
      </c>
      <c r="P2002" s="78">
        <v>0.02</v>
      </c>
    </row>
    <row r="2003" spans="7:16" x14ac:dyDescent="0.3">
      <c r="G2003" t="s">
        <v>3694</v>
      </c>
      <c r="H2003" s="76" t="s">
        <v>528</v>
      </c>
      <c r="I2003" s="76" t="s">
        <v>465</v>
      </c>
      <c r="J2003" s="76" t="s">
        <v>366</v>
      </c>
      <c r="K2003" s="76" t="s">
        <v>3695</v>
      </c>
      <c r="L2003" s="76" t="s">
        <v>391</v>
      </c>
      <c r="M2003" s="76" t="s">
        <v>1545</v>
      </c>
      <c r="N2003" s="76">
        <v>30</v>
      </c>
      <c r="O2003" s="76">
        <v>20</v>
      </c>
      <c r="P2003" s="78">
        <v>0.33329999999999999</v>
      </c>
    </row>
    <row r="2004" spans="7:16" x14ac:dyDescent="0.3">
      <c r="G2004" t="s">
        <v>3696</v>
      </c>
      <c r="H2004" s="76" t="s">
        <v>514</v>
      </c>
      <c r="I2004" s="76" t="s">
        <v>515</v>
      </c>
      <c r="J2004" s="76" t="s">
        <v>360</v>
      </c>
      <c r="K2004" s="76" t="s">
        <v>1020</v>
      </c>
      <c r="L2004" s="76" t="s">
        <v>396</v>
      </c>
      <c r="M2004" s="76" t="s">
        <v>1658</v>
      </c>
      <c r="N2004" s="76">
        <v>500</v>
      </c>
      <c r="O2004" s="76">
        <v>450</v>
      </c>
      <c r="P2004" s="78">
        <v>0.1</v>
      </c>
    </row>
    <row r="2005" spans="7:16" x14ac:dyDescent="0.3">
      <c r="G2005" t="s">
        <v>3697</v>
      </c>
      <c r="H2005" s="76" t="s">
        <v>668</v>
      </c>
      <c r="I2005" s="76" t="s">
        <v>669</v>
      </c>
      <c r="J2005" s="76" t="s">
        <v>360</v>
      </c>
      <c r="K2005" s="77">
        <v>43324</v>
      </c>
      <c r="L2005" s="76" t="s">
        <v>424</v>
      </c>
      <c r="M2005" s="76" t="s">
        <v>1115</v>
      </c>
      <c r="N2005" s="76">
        <v>500</v>
      </c>
      <c r="O2005" s="76">
        <v>490</v>
      </c>
      <c r="P2005" s="78">
        <v>0.02</v>
      </c>
    </row>
    <row r="2006" spans="7:16" x14ac:dyDescent="0.3">
      <c r="G2006" t="s">
        <v>3698</v>
      </c>
      <c r="H2006" s="76" t="s">
        <v>547</v>
      </c>
      <c r="I2006" s="76" t="s">
        <v>548</v>
      </c>
      <c r="J2006" s="76" t="s">
        <v>360</v>
      </c>
      <c r="K2006" s="76" t="s">
        <v>3510</v>
      </c>
      <c r="L2006" s="76" t="s">
        <v>475</v>
      </c>
      <c r="M2006" s="76" t="s">
        <v>1785</v>
      </c>
      <c r="N2006" s="76">
        <v>250</v>
      </c>
      <c r="O2006" s="76">
        <v>103</v>
      </c>
      <c r="P2006" s="78">
        <v>0.58799999999999997</v>
      </c>
    </row>
    <row r="2007" spans="7:16" x14ac:dyDescent="0.3">
      <c r="G2007" t="s">
        <v>3699</v>
      </c>
      <c r="H2007" s="76" t="s">
        <v>514</v>
      </c>
      <c r="I2007" s="76" t="s">
        <v>515</v>
      </c>
      <c r="J2007" s="76" t="s">
        <v>360</v>
      </c>
      <c r="K2007" s="76" t="s">
        <v>3700</v>
      </c>
      <c r="L2007" s="76" t="s">
        <v>391</v>
      </c>
      <c r="M2007" s="76" t="s">
        <v>1658</v>
      </c>
      <c r="N2007" s="76">
        <v>30</v>
      </c>
      <c r="O2007" s="76">
        <v>26</v>
      </c>
      <c r="P2007" s="78">
        <v>0.1333</v>
      </c>
    </row>
    <row r="2008" spans="7:16" x14ac:dyDescent="0.3">
      <c r="G2008" t="s">
        <v>3701</v>
      </c>
      <c r="H2008" s="76" t="s">
        <v>459</v>
      </c>
      <c r="I2008" s="76" t="s">
        <v>422</v>
      </c>
      <c r="J2008" s="76" t="s">
        <v>384</v>
      </c>
      <c r="K2008" s="77">
        <v>42895</v>
      </c>
      <c r="L2008" s="76" t="s">
        <v>411</v>
      </c>
      <c r="M2008" s="76" t="s">
        <v>977</v>
      </c>
      <c r="N2008" s="76">
        <v>1000</v>
      </c>
      <c r="O2008" s="76">
        <v>570</v>
      </c>
      <c r="P2008" s="78">
        <v>0.43</v>
      </c>
    </row>
    <row r="2009" spans="7:16" x14ac:dyDescent="0.3">
      <c r="G2009" t="s">
        <v>3702</v>
      </c>
      <c r="H2009" s="76" t="s">
        <v>566</v>
      </c>
      <c r="I2009" s="76" t="s">
        <v>567</v>
      </c>
      <c r="J2009" s="76" t="s">
        <v>360</v>
      </c>
      <c r="K2009" s="76" t="s">
        <v>3703</v>
      </c>
      <c r="L2009" s="76" t="s">
        <v>385</v>
      </c>
      <c r="M2009" s="76" t="s">
        <v>1227</v>
      </c>
      <c r="N2009" s="76">
        <v>50</v>
      </c>
      <c r="O2009" s="76">
        <v>50</v>
      </c>
      <c r="P2009" s="78">
        <v>0</v>
      </c>
    </row>
    <row r="2010" spans="7:16" x14ac:dyDescent="0.3">
      <c r="G2010" t="s">
        <v>3704</v>
      </c>
      <c r="H2010" s="76" t="s">
        <v>494</v>
      </c>
      <c r="I2010" s="76" t="s">
        <v>465</v>
      </c>
      <c r="J2010" s="76" t="s">
        <v>366</v>
      </c>
      <c r="K2010" s="76" t="s">
        <v>1306</v>
      </c>
      <c r="L2010" s="76" t="s">
        <v>361</v>
      </c>
      <c r="M2010" s="76" t="s">
        <v>600</v>
      </c>
      <c r="N2010" s="76">
        <v>80</v>
      </c>
      <c r="O2010" s="76">
        <v>79</v>
      </c>
      <c r="P2010" s="78">
        <v>1.2500000000000001E-2</v>
      </c>
    </row>
    <row r="2011" spans="7:16" x14ac:dyDescent="0.3">
      <c r="G2011" t="s">
        <v>3705</v>
      </c>
      <c r="H2011" s="76" t="s">
        <v>519</v>
      </c>
      <c r="I2011" s="76" t="s">
        <v>520</v>
      </c>
      <c r="J2011" s="76" t="s">
        <v>360</v>
      </c>
      <c r="K2011" s="76" t="s">
        <v>3706</v>
      </c>
      <c r="L2011" s="76" t="s">
        <v>391</v>
      </c>
      <c r="M2011" s="76" t="s">
        <v>1416</v>
      </c>
      <c r="N2011" s="76">
        <v>30</v>
      </c>
      <c r="O2011" s="76">
        <v>27</v>
      </c>
      <c r="P2011" s="78">
        <v>0.1</v>
      </c>
    </row>
    <row r="2012" spans="7:16" x14ac:dyDescent="0.3">
      <c r="G2012" t="s">
        <v>3707</v>
      </c>
      <c r="H2012" s="76" t="s">
        <v>591</v>
      </c>
      <c r="I2012" s="76" t="s">
        <v>592</v>
      </c>
      <c r="J2012" s="76" t="s">
        <v>372</v>
      </c>
      <c r="K2012" s="76" t="s">
        <v>3708</v>
      </c>
      <c r="L2012" s="76" t="s">
        <v>411</v>
      </c>
      <c r="M2012" s="76" t="s">
        <v>2791</v>
      </c>
      <c r="N2012" s="76">
        <v>1000</v>
      </c>
      <c r="O2012" s="76">
        <v>800</v>
      </c>
      <c r="P2012" s="78">
        <v>0.2</v>
      </c>
    </row>
    <row r="2013" spans="7:16" x14ac:dyDescent="0.3">
      <c r="G2013" t="s">
        <v>3709</v>
      </c>
      <c r="H2013" s="76" t="s">
        <v>547</v>
      </c>
      <c r="I2013" s="76" t="s">
        <v>548</v>
      </c>
      <c r="J2013" s="76" t="s">
        <v>360</v>
      </c>
      <c r="K2013" s="77">
        <v>42676</v>
      </c>
      <c r="L2013" s="76" t="s">
        <v>385</v>
      </c>
      <c r="M2013" s="76" t="s">
        <v>549</v>
      </c>
      <c r="N2013" s="76">
        <v>50</v>
      </c>
      <c r="O2013" s="76">
        <v>46</v>
      </c>
      <c r="P2013" s="78">
        <v>0.08</v>
      </c>
    </row>
    <row r="2014" spans="7:16" x14ac:dyDescent="0.3">
      <c r="G2014" t="s">
        <v>3710</v>
      </c>
      <c r="H2014" s="76" t="s">
        <v>494</v>
      </c>
      <c r="I2014" s="76" t="s">
        <v>465</v>
      </c>
      <c r="J2014" s="76" t="s">
        <v>366</v>
      </c>
      <c r="K2014" s="77">
        <v>42311</v>
      </c>
      <c r="L2014" s="76" t="s">
        <v>405</v>
      </c>
      <c r="M2014" s="76" t="s">
        <v>1041</v>
      </c>
      <c r="N2014" s="76">
        <v>800</v>
      </c>
      <c r="O2014" s="76">
        <v>440</v>
      </c>
      <c r="P2014" s="78">
        <v>0.45</v>
      </c>
    </row>
    <row r="2015" spans="7:16" x14ac:dyDescent="0.3">
      <c r="G2015" t="s">
        <v>3711</v>
      </c>
      <c r="H2015" s="76" t="s">
        <v>364</v>
      </c>
      <c r="I2015" s="76" t="s">
        <v>365</v>
      </c>
      <c r="J2015" s="76" t="s">
        <v>366</v>
      </c>
      <c r="K2015" s="77">
        <v>41768</v>
      </c>
      <c r="L2015" s="76" t="s">
        <v>361</v>
      </c>
      <c r="M2015" s="76" t="s">
        <v>1350</v>
      </c>
      <c r="N2015" s="76">
        <v>80</v>
      </c>
      <c r="O2015" s="76">
        <v>71</v>
      </c>
      <c r="P2015" s="78">
        <v>0.1125</v>
      </c>
    </row>
    <row r="2016" spans="7:16" x14ac:dyDescent="0.3">
      <c r="G2016" t="s">
        <v>3712</v>
      </c>
      <c r="H2016" s="76" t="s">
        <v>494</v>
      </c>
      <c r="I2016" s="76" t="s">
        <v>465</v>
      </c>
      <c r="J2016" s="76" t="s">
        <v>366</v>
      </c>
      <c r="K2016" s="76" t="s">
        <v>2899</v>
      </c>
      <c r="L2016" s="76" t="s">
        <v>405</v>
      </c>
      <c r="M2016" s="76" t="s">
        <v>1027</v>
      </c>
      <c r="N2016" s="76">
        <v>800</v>
      </c>
      <c r="O2016" s="76">
        <v>512</v>
      </c>
      <c r="P2016" s="78">
        <v>0.36</v>
      </c>
    </row>
    <row r="2017" spans="7:16" x14ac:dyDescent="0.3">
      <c r="G2017" t="s">
        <v>3713</v>
      </c>
      <c r="H2017" s="76" t="s">
        <v>394</v>
      </c>
      <c r="I2017" s="76" t="s">
        <v>395</v>
      </c>
      <c r="J2017" s="76" t="s">
        <v>372</v>
      </c>
      <c r="K2017" s="77">
        <v>41703</v>
      </c>
      <c r="L2017" s="76" t="s">
        <v>361</v>
      </c>
      <c r="M2017" s="76" t="s">
        <v>887</v>
      </c>
      <c r="N2017" s="76">
        <v>80</v>
      </c>
      <c r="O2017" s="76">
        <v>77</v>
      </c>
      <c r="P2017" s="78">
        <v>3.7499999999999999E-2</v>
      </c>
    </row>
    <row r="2018" spans="7:16" x14ac:dyDescent="0.3">
      <c r="G2018" t="s">
        <v>3714</v>
      </c>
      <c r="H2018" s="76" t="s">
        <v>675</v>
      </c>
      <c r="I2018" s="76" t="s">
        <v>676</v>
      </c>
      <c r="J2018" s="76" t="s">
        <v>384</v>
      </c>
      <c r="K2018" s="77">
        <v>41798</v>
      </c>
      <c r="L2018" s="76" t="s">
        <v>424</v>
      </c>
      <c r="M2018" s="76" t="s">
        <v>678</v>
      </c>
      <c r="N2018" s="76">
        <v>500</v>
      </c>
      <c r="O2018" s="76">
        <v>490</v>
      </c>
      <c r="P2018" s="78">
        <v>0.02</v>
      </c>
    </row>
    <row r="2019" spans="7:16" x14ac:dyDescent="0.3">
      <c r="G2019" t="s">
        <v>3715</v>
      </c>
      <c r="H2019" s="76" t="s">
        <v>403</v>
      </c>
      <c r="I2019" s="76" t="s">
        <v>404</v>
      </c>
      <c r="J2019" s="76" t="s">
        <v>360</v>
      </c>
      <c r="K2019" s="76" t="s">
        <v>1541</v>
      </c>
      <c r="L2019" s="76" t="s">
        <v>411</v>
      </c>
      <c r="M2019" s="76" t="s">
        <v>406</v>
      </c>
      <c r="N2019" s="76">
        <v>1000</v>
      </c>
      <c r="O2019" s="76">
        <v>920</v>
      </c>
      <c r="P2019" s="78">
        <v>0.08</v>
      </c>
    </row>
    <row r="2020" spans="7:16" x14ac:dyDescent="0.3">
      <c r="G2020" t="s">
        <v>3716</v>
      </c>
      <c r="H2020" s="76" t="s">
        <v>409</v>
      </c>
      <c r="I2020" s="76" t="s">
        <v>410</v>
      </c>
      <c r="J2020" s="76" t="s">
        <v>360</v>
      </c>
      <c r="K2020" s="76" t="s">
        <v>3019</v>
      </c>
      <c r="L2020" s="76" t="s">
        <v>411</v>
      </c>
      <c r="M2020" s="76" t="s">
        <v>1246</v>
      </c>
      <c r="N2020" s="76">
        <v>1000</v>
      </c>
      <c r="O2020" s="76">
        <v>740</v>
      </c>
      <c r="P2020" s="78">
        <v>0.26</v>
      </c>
    </row>
    <row r="2021" spans="7:16" x14ac:dyDescent="0.3">
      <c r="G2021" t="s">
        <v>3717</v>
      </c>
      <c r="H2021" s="76" t="s">
        <v>449</v>
      </c>
      <c r="I2021" s="76" t="s">
        <v>450</v>
      </c>
      <c r="J2021" s="76" t="s">
        <v>360</v>
      </c>
      <c r="K2021" s="76" t="s">
        <v>2801</v>
      </c>
      <c r="L2021" s="76" t="s">
        <v>396</v>
      </c>
      <c r="M2021" s="76" t="s">
        <v>1288</v>
      </c>
      <c r="N2021" s="76">
        <v>500</v>
      </c>
      <c r="O2021" s="76">
        <v>450</v>
      </c>
      <c r="P2021" s="78">
        <v>0.1</v>
      </c>
    </row>
    <row r="2022" spans="7:16" x14ac:dyDescent="0.3">
      <c r="G2022" t="s">
        <v>3718</v>
      </c>
      <c r="H2022" s="76" t="s">
        <v>611</v>
      </c>
      <c r="I2022" s="76" t="s">
        <v>389</v>
      </c>
      <c r="J2022" s="76" t="s">
        <v>384</v>
      </c>
      <c r="K2022" s="77">
        <v>43292</v>
      </c>
      <c r="L2022" s="76" t="s">
        <v>391</v>
      </c>
      <c r="M2022" s="76" t="s">
        <v>3474</v>
      </c>
      <c r="N2022" s="76">
        <v>30</v>
      </c>
      <c r="O2022" s="76">
        <v>30</v>
      </c>
      <c r="P2022" s="78">
        <v>0</v>
      </c>
    </row>
    <row r="2023" spans="7:16" x14ac:dyDescent="0.3">
      <c r="G2023" t="s">
        <v>3719</v>
      </c>
      <c r="H2023" s="76" t="s">
        <v>469</v>
      </c>
      <c r="I2023" s="76" t="s">
        <v>435</v>
      </c>
      <c r="J2023" s="76" t="s">
        <v>360</v>
      </c>
      <c r="K2023" s="76" t="s">
        <v>3720</v>
      </c>
      <c r="L2023" s="76" t="s">
        <v>461</v>
      </c>
      <c r="M2023" s="76" t="s">
        <v>1419</v>
      </c>
      <c r="N2023" s="76">
        <v>70</v>
      </c>
      <c r="O2023" s="76">
        <v>56</v>
      </c>
      <c r="P2023" s="78">
        <v>0.2</v>
      </c>
    </row>
    <row r="2024" spans="7:16" x14ac:dyDescent="0.3">
      <c r="G2024" t="s">
        <v>3721</v>
      </c>
      <c r="H2024" s="76" t="s">
        <v>3165</v>
      </c>
      <c r="I2024" s="76" t="s">
        <v>365</v>
      </c>
      <c r="J2024" s="76" t="s">
        <v>366</v>
      </c>
      <c r="K2024" s="77">
        <v>42951</v>
      </c>
      <c r="L2024" s="76" t="s">
        <v>411</v>
      </c>
      <c r="M2024" s="76" t="s">
        <v>3403</v>
      </c>
      <c r="N2024" s="76">
        <v>1000</v>
      </c>
      <c r="O2024" s="76">
        <v>560</v>
      </c>
      <c r="P2024" s="78">
        <v>0.44</v>
      </c>
    </row>
    <row r="2025" spans="7:16" x14ac:dyDescent="0.3">
      <c r="G2025" t="s">
        <v>3722</v>
      </c>
      <c r="H2025" s="76" t="s">
        <v>469</v>
      </c>
      <c r="I2025" s="76" t="s">
        <v>435</v>
      </c>
      <c r="J2025" s="76" t="s">
        <v>360</v>
      </c>
      <c r="K2025" s="76" t="s">
        <v>2603</v>
      </c>
      <c r="L2025" s="76" t="s">
        <v>483</v>
      </c>
      <c r="M2025" s="76" t="s">
        <v>808</v>
      </c>
      <c r="N2025" s="76">
        <v>50</v>
      </c>
      <c r="O2025" s="76">
        <v>48</v>
      </c>
      <c r="P2025" s="78">
        <v>0.04</v>
      </c>
    </row>
    <row r="2026" spans="7:16" x14ac:dyDescent="0.3">
      <c r="G2026" t="s">
        <v>3723</v>
      </c>
      <c r="H2026" s="76" t="s">
        <v>429</v>
      </c>
      <c r="I2026" s="76" t="s">
        <v>430</v>
      </c>
      <c r="J2026" s="76" t="s">
        <v>384</v>
      </c>
      <c r="K2026" s="77">
        <v>43413</v>
      </c>
      <c r="L2026" s="76" t="s">
        <v>396</v>
      </c>
      <c r="M2026" s="76" t="s">
        <v>1776</v>
      </c>
      <c r="N2026" s="76">
        <v>500</v>
      </c>
      <c r="O2026" s="76">
        <v>490</v>
      </c>
      <c r="P2026" s="78">
        <v>0.02</v>
      </c>
    </row>
    <row r="2027" spans="7:16" x14ac:dyDescent="0.3">
      <c r="G2027" t="s">
        <v>3724</v>
      </c>
      <c r="H2027" s="76" t="s">
        <v>403</v>
      </c>
      <c r="I2027" s="76" t="s">
        <v>404</v>
      </c>
      <c r="J2027" s="76" t="s">
        <v>360</v>
      </c>
      <c r="K2027" s="76" t="s">
        <v>2415</v>
      </c>
      <c r="L2027" s="76" t="s">
        <v>424</v>
      </c>
      <c r="M2027" s="76" t="s">
        <v>851</v>
      </c>
      <c r="N2027" s="76">
        <v>500</v>
      </c>
      <c r="O2027" s="76">
        <v>500</v>
      </c>
      <c r="P2027" s="78">
        <v>0</v>
      </c>
    </row>
    <row r="2028" spans="7:16" x14ac:dyDescent="0.3">
      <c r="G2028" t="s">
        <v>3725</v>
      </c>
      <c r="H2028" s="76" t="s">
        <v>528</v>
      </c>
      <c r="I2028" s="76" t="s">
        <v>465</v>
      </c>
      <c r="J2028" s="76" t="s">
        <v>366</v>
      </c>
      <c r="K2028" s="76" t="s">
        <v>1430</v>
      </c>
      <c r="L2028" s="76" t="s">
        <v>424</v>
      </c>
      <c r="M2028" s="76" t="s">
        <v>2032</v>
      </c>
      <c r="N2028" s="76">
        <v>500</v>
      </c>
      <c r="O2028" s="76">
        <v>490</v>
      </c>
      <c r="P2028" s="78">
        <v>0.02</v>
      </c>
    </row>
    <row r="2029" spans="7:16" x14ac:dyDescent="0.3">
      <c r="G2029" t="s">
        <v>3726</v>
      </c>
      <c r="H2029" s="76" t="s">
        <v>3191</v>
      </c>
      <c r="I2029" s="76" t="s">
        <v>465</v>
      </c>
      <c r="J2029" s="76" t="s">
        <v>366</v>
      </c>
      <c r="K2029" s="77">
        <v>42318</v>
      </c>
      <c r="L2029" s="76" t="s">
        <v>379</v>
      </c>
      <c r="M2029" s="76" t="s">
        <v>3727</v>
      </c>
      <c r="N2029" s="76">
        <v>150</v>
      </c>
      <c r="O2029" s="76">
        <v>101</v>
      </c>
      <c r="P2029" s="78">
        <v>0.32669999999999999</v>
      </c>
    </row>
    <row r="2030" spans="7:16" x14ac:dyDescent="0.3">
      <c r="G2030" t="s">
        <v>3728</v>
      </c>
      <c r="H2030" s="76" t="s">
        <v>399</v>
      </c>
      <c r="I2030" s="76" t="s">
        <v>400</v>
      </c>
      <c r="J2030" s="76" t="s">
        <v>372</v>
      </c>
      <c r="K2030" s="77">
        <v>42472</v>
      </c>
      <c r="L2030" s="76" t="s">
        <v>461</v>
      </c>
      <c r="M2030" s="76" t="s">
        <v>843</v>
      </c>
      <c r="N2030" s="76">
        <v>70</v>
      </c>
      <c r="O2030" s="76">
        <v>69</v>
      </c>
      <c r="P2030" s="78">
        <v>1.43E-2</v>
      </c>
    </row>
    <row r="2031" spans="7:16" x14ac:dyDescent="0.3">
      <c r="G2031" t="s">
        <v>3729</v>
      </c>
      <c r="H2031" s="76" t="s">
        <v>524</v>
      </c>
      <c r="I2031" s="76" t="s">
        <v>465</v>
      </c>
      <c r="J2031" s="76" t="s">
        <v>366</v>
      </c>
      <c r="K2031" s="76" t="s">
        <v>2411</v>
      </c>
      <c r="L2031" s="76" t="s">
        <v>405</v>
      </c>
      <c r="M2031" s="76" t="s">
        <v>1891</v>
      </c>
      <c r="N2031" s="76">
        <v>800</v>
      </c>
      <c r="O2031" s="76">
        <v>696</v>
      </c>
      <c r="P2031" s="78">
        <v>0.13</v>
      </c>
    </row>
    <row r="2032" spans="7:16" x14ac:dyDescent="0.3">
      <c r="G2032" t="s">
        <v>3730</v>
      </c>
      <c r="H2032" s="76" t="s">
        <v>358</v>
      </c>
      <c r="I2032" s="76" t="s">
        <v>359</v>
      </c>
      <c r="J2032" s="76" t="s">
        <v>360</v>
      </c>
      <c r="K2032" s="77">
        <v>43194</v>
      </c>
      <c r="L2032" s="76" t="s">
        <v>461</v>
      </c>
      <c r="M2032" s="76" t="s">
        <v>501</v>
      </c>
      <c r="N2032" s="76">
        <v>70</v>
      </c>
      <c r="O2032" s="76">
        <v>69</v>
      </c>
      <c r="P2032" s="78">
        <v>1.43E-2</v>
      </c>
    </row>
    <row r="2033" spans="7:16" x14ac:dyDescent="0.3">
      <c r="G2033" t="s">
        <v>3731</v>
      </c>
      <c r="H2033" s="76" t="s">
        <v>382</v>
      </c>
      <c r="I2033" s="76" t="s">
        <v>383</v>
      </c>
      <c r="J2033" s="76" t="s">
        <v>384</v>
      </c>
      <c r="K2033" s="76" t="s">
        <v>2150</v>
      </c>
      <c r="L2033" s="76" t="s">
        <v>405</v>
      </c>
      <c r="M2033" s="76" t="s">
        <v>1824</v>
      </c>
      <c r="N2033" s="76">
        <v>800</v>
      </c>
      <c r="O2033" s="76">
        <v>520</v>
      </c>
      <c r="P2033" s="78">
        <v>0.35</v>
      </c>
    </row>
    <row r="2034" spans="7:16" x14ac:dyDescent="0.3">
      <c r="G2034" t="s">
        <v>3732</v>
      </c>
      <c r="H2034" s="76" t="s">
        <v>434</v>
      </c>
      <c r="I2034" s="76" t="s">
        <v>435</v>
      </c>
      <c r="J2034" s="76" t="s">
        <v>360</v>
      </c>
      <c r="K2034" s="76" t="s">
        <v>3733</v>
      </c>
      <c r="L2034" s="76" t="s">
        <v>483</v>
      </c>
      <c r="M2034" s="76" t="s">
        <v>2305</v>
      </c>
      <c r="N2034" s="76">
        <v>50</v>
      </c>
      <c r="O2034" s="76">
        <v>44</v>
      </c>
      <c r="P2034" s="78">
        <v>0.12</v>
      </c>
    </row>
    <row r="2035" spans="7:16" x14ac:dyDescent="0.3">
      <c r="G2035" t="s">
        <v>3734</v>
      </c>
      <c r="H2035" s="76" t="s">
        <v>478</v>
      </c>
      <c r="I2035" s="76" t="s">
        <v>479</v>
      </c>
      <c r="J2035" s="76" t="s">
        <v>384</v>
      </c>
      <c r="K2035" s="77">
        <v>42127</v>
      </c>
      <c r="L2035" s="76" t="s">
        <v>361</v>
      </c>
      <c r="M2035" s="76" t="s">
        <v>480</v>
      </c>
      <c r="N2035" s="76">
        <v>80</v>
      </c>
      <c r="O2035" s="76">
        <v>77</v>
      </c>
      <c r="P2035" s="78">
        <v>3.7499999999999999E-2</v>
      </c>
    </row>
    <row r="2036" spans="7:16" x14ac:dyDescent="0.3">
      <c r="G2036" t="s">
        <v>3735</v>
      </c>
      <c r="H2036" s="76" t="s">
        <v>444</v>
      </c>
      <c r="I2036" s="76" t="s">
        <v>445</v>
      </c>
      <c r="J2036" s="76" t="s">
        <v>384</v>
      </c>
      <c r="K2036" s="77">
        <v>42349</v>
      </c>
      <c r="L2036" s="76" t="s">
        <v>373</v>
      </c>
      <c r="M2036" s="76" t="s">
        <v>583</v>
      </c>
      <c r="N2036" s="76">
        <v>700</v>
      </c>
      <c r="O2036" s="76">
        <v>455</v>
      </c>
      <c r="P2036" s="78">
        <v>0.35</v>
      </c>
    </row>
    <row r="2037" spans="7:16" x14ac:dyDescent="0.3">
      <c r="G2037" t="s">
        <v>3736</v>
      </c>
      <c r="H2037" s="76" t="s">
        <v>394</v>
      </c>
      <c r="I2037" s="76" t="s">
        <v>395</v>
      </c>
      <c r="J2037" s="76" t="s">
        <v>372</v>
      </c>
      <c r="K2037" s="76" t="s">
        <v>3737</v>
      </c>
      <c r="L2037" s="76" t="s">
        <v>396</v>
      </c>
      <c r="M2037" s="76" t="s">
        <v>1787</v>
      </c>
      <c r="N2037" s="76">
        <v>500</v>
      </c>
      <c r="O2037" s="76">
        <v>485</v>
      </c>
      <c r="P2037" s="78">
        <v>0.03</v>
      </c>
    </row>
    <row r="2038" spans="7:16" x14ac:dyDescent="0.3">
      <c r="G2038" t="s">
        <v>3738</v>
      </c>
      <c r="H2038" s="76" t="s">
        <v>388</v>
      </c>
      <c r="I2038" s="76" t="s">
        <v>389</v>
      </c>
      <c r="J2038" s="76" t="s">
        <v>384</v>
      </c>
      <c r="K2038" s="76" t="s">
        <v>3739</v>
      </c>
      <c r="L2038" s="76" t="s">
        <v>424</v>
      </c>
      <c r="M2038" s="76" t="s">
        <v>2053</v>
      </c>
      <c r="N2038" s="76">
        <v>500</v>
      </c>
      <c r="O2038" s="76">
        <v>500</v>
      </c>
      <c r="P2038" s="78">
        <v>0</v>
      </c>
    </row>
    <row r="2039" spans="7:16" x14ac:dyDescent="0.3">
      <c r="G2039" t="s">
        <v>3740</v>
      </c>
      <c r="H2039" s="76" t="s">
        <v>524</v>
      </c>
      <c r="I2039" s="76" t="s">
        <v>465</v>
      </c>
      <c r="J2039" s="76" t="s">
        <v>366</v>
      </c>
      <c r="K2039" s="76" t="s">
        <v>3741</v>
      </c>
      <c r="L2039" s="76" t="s">
        <v>379</v>
      </c>
      <c r="M2039" s="76" t="s">
        <v>526</v>
      </c>
      <c r="N2039" s="76">
        <v>150</v>
      </c>
      <c r="O2039" s="76">
        <v>119</v>
      </c>
      <c r="P2039" s="78">
        <v>0.20669999999999999</v>
      </c>
    </row>
    <row r="2040" spans="7:16" x14ac:dyDescent="0.3">
      <c r="G2040" t="s">
        <v>3742</v>
      </c>
      <c r="H2040" s="76" t="s">
        <v>394</v>
      </c>
      <c r="I2040" s="76" t="s">
        <v>395</v>
      </c>
      <c r="J2040" s="76" t="s">
        <v>372</v>
      </c>
      <c r="K2040" s="76" t="s">
        <v>3743</v>
      </c>
      <c r="L2040" s="76" t="s">
        <v>461</v>
      </c>
      <c r="M2040" s="76" t="s">
        <v>1744</v>
      </c>
      <c r="N2040" s="76">
        <v>70</v>
      </c>
      <c r="O2040" s="76">
        <v>60</v>
      </c>
      <c r="P2040" s="78">
        <v>0.1429</v>
      </c>
    </row>
    <row r="2041" spans="7:16" x14ac:dyDescent="0.3">
      <c r="G2041" t="s">
        <v>3744</v>
      </c>
      <c r="H2041" s="76" t="s">
        <v>382</v>
      </c>
      <c r="I2041" s="76" t="s">
        <v>383</v>
      </c>
      <c r="J2041" s="76" t="s">
        <v>384</v>
      </c>
      <c r="K2041" s="76" t="s">
        <v>3745</v>
      </c>
      <c r="L2041" s="76" t="s">
        <v>483</v>
      </c>
      <c r="M2041" s="76" t="s">
        <v>427</v>
      </c>
      <c r="N2041" s="76">
        <v>50</v>
      </c>
      <c r="O2041" s="76">
        <v>45</v>
      </c>
      <c r="P2041" s="78">
        <v>0.1</v>
      </c>
    </row>
    <row r="2042" spans="7:16" x14ac:dyDescent="0.3">
      <c r="G2042" t="s">
        <v>3746</v>
      </c>
      <c r="H2042" s="76" t="s">
        <v>358</v>
      </c>
      <c r="I2042" s="76" t="s">
        <v>359</v>
      </c>
      <c r="J2042" s="76" t="s">
        <v>360</v>
      </c>
      <c r="K2042" s="76" t="s">
        <v>529</v>
      </c>
      <c r="L2042" s="76" t="s">
        <v>405</v>
      </c>
      <c r="M2042" s="76" t="s">
        <v>706</v>
      </c>
      <c r="N2042" s="76">
        <v>800</v>
      </c>
      <c r="O2042" s="76">
        <v>744</v>
      </c>
      <c r="P2042" s="78">
        <v>7.0000000000000007E-2</v>
      </c>
    </row>
    <row r="2043" spans="7:16" x14ac:dyDescent="0.3">
      <c r="G2043" t="s">
        <v>3747</v>
      </c>
      <c r="H2043" s="76" t="s">
        <v>3257</v>
      </c>
      <c r="I2043" s="76" t="s">
        <v>465</v>
      </c>
      <c r="J2043" s="76" t="s">
        <v>366</v>
      </c>
      <c r="K2043" s="76" t="s">
        <v>1363</v>
      </c>
      <c r="L2043" s="76" t="s">
        <v>396</v>
      </c>
      <c r="M2043" s="76" t="s">
        <v>3342</v>
      </c>
      <c r="N2043" s="76">
        <v>500</v>
      </c>
      <c r="O2043" s="76">
        <v>470</v>
      </c>
      <c r="P2043" s="78">
        <v>0.06</v>
      </c>
    </row>
    <row r="2044" spans="7:16" x14ac:dyDescent="0.3">
      <c r="G2044" t="s">
        <v>3748</v>
      </c>
      <c r="H2044" s="76" t="s">
        <v>399</v>
      </c>
      <c r="I2044" s="76" t="s">
        <v>400</v>
      </c>
      <c r="J2044" s="76" t="s">
        <v>372</v>
      </c>
      <c r="K2044" s="77">
        <v>43224</v>
      </c>
      <c r="L2044" s="76" t="s">
        <v>461</v>
      </c>
      <c r="M2044" s="76" t="s">
        <v>419</v>
      </c>
      <c r="N2044" s="76">
        <v>70</v>
      </c>
      <c r="O2044" s="76">
        <v>61</v>
      </c>
      <c r="P2044" s="78">
        <v>0.12859999999999999</v>
      </c>
    </row>
    <row r="2045" spans="7:16" x14ac:dyDescent="0.3">
      <c r="G2045" t="s">
        <v>3749</v>
      </c>
      <c r="H2045" s="76" t="s">
        <v>444</v>
      </c>
      <c r="I2045" s="76" t="s">
        <v>445</v>
      </c>
      <c r="J2045" s="76" t="s">
        <v>384</v>
      </c>
      <c r="K2045" s="76" t="s">
        <v>3750</v>
      </c>
      <c r="L2045" s="76" t="s">
        <v>373</v>
      </c>
      <c r="M2045" s="76" t="s">
        <v>990</v>
      </c>
      <c r="N2045" s="76">
        <v>700</v>
      </c>
      <c r="O2045" s="76">
        <v>546</v>
      </c>
      <c r="P2045" s="78">
        <v>0.22</v>
      </c>
    </row>
    <row r="2046" spans="7:16" x14ac:dyDescent="0.3">
      <c r="G2046" t="s">
        <v>3751</v>
      </c>
      <c r="H2046" s="76" t="s">
        <v>382</v>
      </c>
      <c r="I2046" s="76" t="s">
        <v>383</v>
      </c>
      <c r="J2046" s="76" t="s">
        <v>384</v>
      </c>
      <c r="K2046" s="76" t="s">
        <v>1736</v>
      </c>
      <c r="L2046" s="76" t="s">
        <v>424</v>
      </c>
      <c r="M2046" s="76" t="s">
        <v>386</v>
      </c>
      <c r="N2046" s="76">
        <v>500</v>
      </c>
      <c r="O2046" s="76">
        <v>495</v>
      </c>
      <c r="P2046" s="78">
        <v>0.01</v>
      </c>
    </row>
    <row r="2047" spans="7:16" x14ac:dyDescent="0.3">
      <c r="G2047" t="s">
        <v>3752</v>
      </c>
      <c r="H2047" s="76" t="s">
        <v>615</v>
      </c>
      <c r="I2047" s="76" t="s">
        <v>400</v>
      </c>
      <c r="J2047" s="76" t="s">
        <v>372</v>
      </c>
      <c r="K2047" s="76" t="s">
        <v>2895</v>
      </c>
      <c r="L2047" s="76" t="s">
        <v>405</v>
      </c>
      <c r="M2047" s="76" t="s">
        <v>617</v>
      </c>
      <c r="N2047" s="76">
        <v>800</v>
      </c>
      <c r="O2047" s="76">
        <v>592</v>
      </c>
      <c r="P2047" s="78">
        <v>0.26</v>
      </c>
    </row>
    <row r="2048" spans="7:16" x14ac:dyDescent="0.3">
      <c r="G2048" t="s">
        <v>3753</v>
      </c>
      <c r="H2048" s="76" t="s">
        <v>566</v>
      </c>
      <c r="I2048" s="76" t="s">
        <v>567</v>
      </c>
      <c r="J2048" s="76" t="s">
        <v>360</v>
      </c>
      <c r="K2048" s="77">
        <v>42314</v>
      </c>
      <c r="L2048" s="76" t="s">
        <v>361</v>
      </c>
      <c r="M2048" s="76" t="s">
        <v>1849</v>
      </c>
      <c r="N2048" s="76">
        <v>80</v>
      </c>
      <c r="O2048" s="76">
        <v>64</v>
      </c>
      <c r="P2048" s="78">
        <v>0.2</v>
      </c>
    </row>
    <row r="2049" spans="7:16" x14ac:dyDescent="0.3">
      <c r="G2049" t="s">
        <v>3754</v>
      </c>
      <c r="H2049" s="76" t="s">
        <v>611</v>
      </c>
      <c r="I2049" s="76" t="s">
        <v>389</v>
      </c>
      <c r="J2049" s="76" t="s">
        <v>384</v>
      </c>
      <c r="K2049" s="76" t="s">
        <v>3755</v>
      </c>
      <c r="L2049" s="76" t="s">
        <v>373</v>
      </c>
      <c r="M2049" s="76" t="s">
        <v>2851</v>
      </c>
      <c r="N2049" s="76">
        <v>700</v>
      </c>
      <c r="O2049" s="76">
        <v>693</v>
      </c>
      <c r="P2049" s="78">
        <v>0.01</v>
      </c>
    </row>
    <row r="2050" spans="7:16" x14ac:dyDescent="0.3">
      <c r="G2050" t="s">
        <v>3756</v>
      </c>
      <c r="H2050" s="76" t="s">
        <v>519</v>
      </c>
      <c r="I2050" s="76" t="s">
        <v>520</v>
      </c>
      <c r="J2050" s="76" t="s">
        <v>360</v>
      </c>
      <c r="K2050" s="77">
        <v>42047</v>
      </c>
      <c r="L2050" s="76" t="s">
        <v>483</v>
      </c>
      <c r="M2050" s="76" t="s">
        <v>859</v>
      </c>
      <c r="N2050" s="76">
        <v>50</v>
      </c>
      <c r="O2050" s="76">
        <v>38</v>
      </c>
      <c r="P2050" s="78">
        <v>0.24</v>
      </c>
    </row>
    <row r="2051" spans="7:16" x14ac:dyDescent="0.3">
      <c r="G2051" t="s">
        <v>3757</v>
      </c>
      <c r="H2051" s="76" t="s">
        <v>615</v>
      </c>
      <c r="I2051" s="76" t="s">
        <v>400</v>
      </c>
      <c r="J2051" s="76" t="s">
        <v>372</v>
      </c>
      <c r="K2051" s="77">
        <v>42040</v>
      </c>
      <c r="L2051" s="76" t="s">
        <v>379</v>
      </c>
      <c r="M2051" s="76" t="s">
        <v>3758</v>
      </c>
      <c r="N2051" s="76">
        <v>150</v>
      </c>
      <c r="O2051" s="76">
        <v>140</v>
      </c>
      <c r="P2051" s="78">
        <v>6.6699999999999995E-2</v>
      </c>
    </row>
    <row r="2052" spans="7:16" x14ac:dyDescent="0.3">
      <c r="G2052" t="s">
        <v>3759</v>
      </c>
      <c r="H2052" s="76" t="s">
        <v>469</v>
      </c>
      <c r="I2052" s="76" t="s">
        <v>435</v>
      </c>
      <c r="J2052" s="76" t="s">
        <v>360</v>
      </c>
      <c r="K2052" s="76" t="s">
        <v>3760</v>
      </c>
      <c r="L2052" s="76" t="s">
        <v>391</v>
      </c>
      <c r="M2052" s="76" t="s">
        <v>808</v>
      </c>
      <c r="N2052" s="76">
        <v>30</v>
      </c>
      <c r="O2052" s="76">
        <v>24</v>
      </c>
      <c r="P2052" s="78">
        <v>0.2</v>
      </c>
    </row>
    <row r="2053" spans="7:16" x14ac:dyDescent="0.3">
      <c r="G2053" t="s">
        <v>3761</v>
      </c>
      <c r="H2053" s="76" t="s">
        <v>370</v>
      </c>
      <c r="I2053" s="76" t="s">
        <v>371</v>
      </c>
      <c r="J2053" s="76" t="s">
        <v>372</v>
      </c>
      <c r="K2053" s="76" t="s">
        <v>3762</v>
      </c>
      <c r="L2053" s="76" t="s">
        <v>361</v>
      </c>
      <c r="M2053" s="76" t="s">
        <v>1146</v>
      </c>
      <c r="N2053" s="76">
        <v>80</v>
      </c>
      <c r="O2053" s="76">
        <v>74</v>
      </c>
      <c r="P2053" s="78">
        <v>7.4999999999999997E-2</v>
      </c>
    </row>
    <row r="2054" spans="7:16" x14ac:dyDescent="0.3">
      <c r="G2054" t="s">
        <v>3763</v>
      </c>
      <c r="H2054" s="76" t="s">
        <v>845</v>
      </c>
      <c r="I2054" s="76" t="s">
        <v>846</v>
      </c>
      <c r="J2054" s="76" t="s">
        <v>360</v>
      </c>
      <c r="K2054" s="76" t="s">
        <v>3764</v>
      </c>
      <c r="L2054" s="76" t="s">
        <v>461</v>
      </c>
      <c r="M2054" s="76" t="s">
        <v>2025</v>
      </c>
      <c r="N2054" s="76">
        <v>70</v>
      </c>
      <c r="O2054" s="76">
        <v>62</v>
      </c>
      <c r="P2054" s="78">
        <v>0.1143</v>
      </c>
    </row>
    <row r="2055" spans="7:16" x14ac:dyDescent="0.3">
      <c r="G2055" t="s">
        <v>3765</v>
      </c>
      <c r="H2055" s="76" t="s">
        <v>421</v>
      </c>
      <c r="I2055" s="76" t="s">
        <v>422</v>
      </c>
      <c r="J2055" s="76" t="s">
        <v>384</v>
      </c>
      <c r="K2055" s="76" t="s">
        <v>3260</v>
      </c>
      <c r="L2055" s="76" t="s">
        <v>361</v>
      </c>
      <c r="M2055" s="76" t="s">
        <v>509</v>
      </c>
      <c r="N2055" s="76">
        <v>80</v>
      </c>
      <c r="O2055" s="76">
        <v>76</v>
      </c>
      <c r="P2055" s="78">
        <v>0.05</v>
      </c>
    </row>
    <row r="2056" spans="7:16" x14ac:dyDescent="0.3">
      <c r="G2056" t="s">
        <v>3766</v>
      </c>
      <c r="H2056" s="76" t="s">
        <v>524</v>
      </c>
      <c r="I2056" s="76" t="s">
        <v>465</v>
      </c>
      <c r="J2056" s="76" t="s">
        <v>366</v>
      </c>
      <c r="K2056" s="76" t="s">
        <v>2746</v>
      </c>
      <c r="L2056" s="76" t="s">
        <v>385</v>
      </c>
      <c r="M2056" s="76" t="s">
        <v>3767</v>
      </c>
      <c r="N2056" s="76">
        <v>50</v>
      </c>
      <c r="O2056" s="76">
        <v>45</v>
      </c>
      <c r="P2056" s="78">
        <v>0.1</v>
      </c>
    </row>
    <row r="2057" spans="7:16" x14ac:dyDescent="0.3">
      <c r="G2057" t="s">
        <v>3768</v>
      </c>
      <c r="H2057" s="76" t="s">
        <v>3191</v>
      </c>
      <c r="I2057" s="76" t="s">
        <v>465</v>
      </c>
      <c r="J2057" s="76" t="s">
        <v>366</v>
      </c>
      <c r="K2057" s="76" t="s">
        <v>1248</v>
      </c>
      <c r="L2057" s="76" t="s">
        <v>411</v>
      </c>
      <c r="M2057" s="76" t="s">
        <v>3203</v>
      </c>
      <c r="N2057" s="76">
        <v>1000</v>
      </c>
      <c r="O2057" s="76">
        <v>670</v>
      </c>
      <c r="P2057" s="78">
        <v>0.33</v>
      </c>
    </row>
    <row r="2058" spans="7:16" x14ac:dyDescent="0.3">
      <c r="G2058" t="s">
        <v>3769</v>
      </c>
      <c r="H2058" s="76" t="s">
        <v>551</v>
      </c>
      <c r="I2058" s="76" t="s">
        <v>552</v>
      </c>
      <c r="J2058" s="76" t="s">
        <v>360</v>
      </c>
      <c r="K2058" s="77">
        <v>43290</v>
      </c>
      <c r="L2058" s="76" t="s">
        <v>461</v>
      </c>
      <c r="M2058" s="76" t="s">
        <v>2021</v>
      </c>
      <c r="N2058" s="76">
        <v>70</v>
      </c>
      <c r="O2058" s="76">
        <v>67</v>
      </c>
      <c r="P2058" s="78">
        <v>4.2900000000000001E-2</v>
      </c>
    </row>
    <row r="2059" spans="7:16" x14ac:dyDescent="0.3">
      <c r="G2059" t="s">
        <v>3770</v>
      </c>
      <c r="H2059" s="76" t="s">
        <v>3191</v>
      </c>
      <c r="I2059" s="76" t="s">
        <v>465</v>
      </c>
      <c r="J2059" s="76" t="s">
        <v>366</v>
      </c>
      <c r="K2059" s="76" t="s">
        <v>3771</v>
      </c>
      <c r="L2059" s="76" t="s">
        <v>385</v>
      </c>
      <c r="M2059" s="76" t="s">
        <v>3192</v>
      </c>
      <c r="N2059" s="76">
        <v>50</v>
      </c>
      <c r="O2059" s="76">
        <v>46</v>
      </c>
      <c r="P2059" s="78">
        <v>0.08</v>
      </c>
    </row>
    <row r="2060" spans="7:16" x14ac:dyDescent="0.3">
      <c r="G2060" t="s">
        <v>3772</v>
      </c>
      <c r="H2060" s="76" t="s">
        <v>444</v>
      </c>
      <c r="I2060" s="76" t="s">
        <v>445</v>
      </c>
      <c r="J2060" s="76" t="s">
        <v>384</v>
      </c>
      <c r="K2060" s="76" t="s">
        <v>588</v>
      </c>
      <c r="L2060" s="76" t="s">
        <v>405</v>
      </c>
      <c r="M2060" s="76" t="s">
        <v>1516</v>
      </c>
      <c r="N2060" s="76">
        <v>800</v>
      </c>
      <c r="O2060" s="76">
        <v>752</v>
      </c>
      <c r="P2060" s="78">
        <v>0.06</v>
      </c>
    </row>
    <row r="2061" spans="7:16" x14ac:dyDescent="0.3">
      <c r="G2061" t="s">
        <v>3773</v>
      </c>
      <c r="H2061" s="76" t="s">
        <v>891</v>
      </c>
      <c r="I2061" s="76" t="s">
        <v>892</v>
      </c>
      <c r="J2061" s="76" t="s">
        <v>372</v>
      </c>
      <c r="K2061" s="76" t="s">
        <v>2879</v>
      </c>
      <c r="L2061" s="76" t="s">
        <v>424</v>
      </c>
      <c r="M2061" s="76" t="s">
        <v>1421</v>
      </c>
      <c r="N2061" s="76">
        <v>500</v>
      </c>
      <c r="O2061" s="76">
        <v>490</v>
      </c>
      <c r="P2061" s="78">
        <v>0.02</v>
      </c>
    </row>
    <row r="2062" spans="7:16" x14ac:dyDescent="0.3">
      <c r="G2062" t="s">
        <v>3774</v>
      </c>
      <c r="H2062" s="76" t="s">
        <v>376</v>
      </c>
      <c r="I2062" s="76" t="s">
        <v>377</v>
      </c>
      <c r="J2062" s="76" t="s">
        <v>360</v>
      </c>
      <c r="K2062" s="76" t="s">
        <v>532</v>
      </c>
      <c r="L2062" s="76" t="s">
        <v>379</v>
      </c>
      <c r="M2062" s="76" t="s">
        <v>649</v>
      </c>
      <c r="N2062" s="76">
        <v>150</v>
      </c>
      <c r="O2062" s="76">
        <v>147</v>
      </c>
      <c r="P2062" s="78">
        <v>0.02</v>
      </c>
    </row>
    <row r="2063" spans="7:16" x14ac:dyDescent="0.3">
      <c r="G2063" t="s">
        <v>3775</v>
      </c>
      <c r="H2063" s="76" t="s">
        <v>449</v>
      </c>
      <c r="I2063" s="76" t="s">
        <v>450</v>
      </c>
      <c r="J2063" s="76" t="s">
        <v>360</v>
      </c>
      <c r="K2063" s="76" t="s">
        <v>1793</v>
      </c>
      <c r="L2063" s="76" t="s">
        <v>424</v>
      </c>
      <c r="M2063" s="76" t="s">
        <v>1288</v>
      </c>
      <c r="N2063" s="76">
        <v>500</v>
      </c>
      <c r="O2063" s="76">
        <v>495</v>
      </c>
      <c r="P2063" s="78">
        <v>0.01</v>
      </c>
    </row>
    <row r="2064" spans="7:16" x14ac:dyDescent="0.3">
      <c r="G2064" t="s">
        <v>3776</v>
      </c>
      <c r="H2064" s="76" t="s">
        <v>469</v>
      </c>
      <c r="I2064" s="76" t="s">
        <v>435</v>
      </c>
      <c r="J2064" s="76" t="s">
        <v>360</v>
      </c>
      <c r="K2064" s="77">
        <v>42741</v>
      </c>
      <c r="L2064" s="76" t="s">
        <v>424</v>
      </c>
      <c r="M2064" s="76" t="s">
        <v>2555</v>
      </c>
      <c r="N2064" s="76">
        <v>500</v>
      </c>
      <c r="O2064" s="76">
        <v>500</v>
      </c>
      <c r="P2064" s="78">
        <v>0</v>
      </c>
    </row>
    <row r="2065" spans="7:16" x14ac:dyDescent="0.3">
      <c r="G2065" t="s">
        <v>3777</v>
      </c>
      <c r="H2065" s="76" t="s">
        <v>656</v>
      </c>
      <c r="I2065" s="76" t="s">
        <v>657</v>
      </c>
      <c r="J2065" s="76" t="s">
        <v>360</v>
      </c>
      <c r="K2065" s="76" t="s">
        <v>3263</v>
      </c>
      <c r="L2065" s="76" t="s">
        <v>411</v>
      </c>
      <c r="M2065" s="76" t="s">
        <v>1389</v>
      </c>
      <c r="N2065" s="76">
        <v>1000</v>
      </c>
      <c r="O2065" s="76">
        <v>680</v>
      </c>
      <c r="P2065" s="78">
        <v>0.32</v>
      </c>
    </row>
    <row r="2066" spans="7:16" x14ac:dyDescent="0.3">
      <c r="G2066" t="s">
        <v>3778</v>
      </c>
      <c r="H2066" s="76" t="s">
        <v>3257</v>
      </c>
      <c r="I2066" s="76" t="s">
        <v>465</v>
      </c>
      <c r="J2066" s="76" t="s">
        <v>366</v>
      </c>
      <c r="K2066" s="77">
        <v>43354</v>
      </c>
      <c r="L2066" s="76" t="s">
        <v>391</v>
      </c>
      <c r="M2066" s="76" t="s">
        <v>3342</v>
      </c>
      <c r="N2066" s="76">
        <v>30</v>
      </c>
      <c r="O2066" s="76">
        <v>27</v>
      </c>
      <c r="P2066" s="78">
        <v>0.1</v>
      </c>
    </row>
    <row r="2067" spans="7:16" x14ac:dyDescent="0.3">
      <c r="G2067" t="s">
        <v>3779</v>
      </c>
      <c r="H2067" s="76" t="s">
        <v>615</v>
      </c>
      <c r="I2067" s="76" t="s">
        <v>400</v>
      </c>
      <c r="J2067" s="76" t="s">
        <v>372</v>
      </c>
      <c r="K2067" s="76" t="s">
        <v>1358</v>
      </c>
      <c r="L2067" s="76" t="s">
        <v>483</v>
      </c>
      <c r="M2067" s="76" t="s">
        <v>617</v>
      </c>
      <c r="N2067" s="76">
        <v>50</v>
      </c>
      <c r="O2067" s="76">
        <v>44</v>
      </c>
      <c r="P2067" s="78">
        <v>0.12</v>
      </c>
    </row>
    <row r="2068" spans="7:16" x14ac:dyDescent="0.3">
      <c r="G2068" t="s">
        <v>3780</v>
      </c>
      <c r="H2068" s="76" t="s">
        <v>700</v>
      </c>
      <c r="I2068" s="76" t="s">
        <v>465</v>
      </c>
      <c r="J2068" s="76" t="s">
        <v>366</v>
      </c>
      <c r="K2068" s="76" t="s">
        <v>2146</v>
      </c>
      <c r="L2068" s="76" t="s">
        <v>361</v>
      </c>
      <c r="M2068" s="76" t="s">
        <v>1821</v>
      </c>
      <c r="N2068" s="76">
        <v>80</v>
      </c>
      <c r="O2068" s="76">
        <v>80</v>
      </c>
      <c r="P2068" s="78">
        <v>0</v>
      </c>
    </row>
    <row r="2069" spans="7:16" x14ac:dyDescent="0.3">
      <c r="G2069" t="s">
        <v>3781</v>
      </c>
      <c r="H2069" s="76" t="s">
        <v>519</v>
      </c>
      <c r="I2069" s="76" t="s">
        <v>520</v>
      </c>
      <c r="J2069" s="76" t="s">
        <v>360</v>
      </c>
      <c r="K2069" s="76" t="s">
        <v>2901</v>
      </c>
      <c r="L2069" s="76" t="s">
        <v>396</v>
      </c>
      <c r="M2069" s="76" t="s">
        <v>726</v>
      </c>
      <c r="N2069" s="76">
        <v>500</v>
      </c>
      <c r="O2069" s="76">
        <v>360</v>
      </c>
      <c r="P2069" s="78">
        <v>0.28000000000000003</v>
      </c>
    </row>
    <row r="2070" spans="7:16" x14ac:dyDescent="0.3">
      <c r="G2070" t="s">
        <v>3782</v>
      </c>
      <c r="H2070" s="76" t="s">
        <v>3191</v>
      </c>
      <c r="I2070" s="76" t="s">
        <v>465</v>
      </c>
      <c r="J2070" s="76" t="s">
        <v>366</v>
      </c>
      <c r="K2070" s="77">
        <v>41859</v>
      </c>
      <c r="L2070" s="76" t="s">
        <v>405</v>
      </c>
      <c r="M2070" s="76" t="s">
        <v>3203</v>
      </c>
      <c r="N2070" s="76">
        <v>800</v>
      </c>
      <c r="O2070" s="76">
        <v>656</v>
      </c>
      <c r="P2070" s="78">
        <v>0.18</v>
      </c>
    </row>
    <row r="2071" spans="7:16" x14ac:dyDescent="0.3">
      <c r="G2071" t="s">
        <v>3783</v>
      </c>
      <c r="H2071" s="76" t="s">
        <v>3257</v>
      </c>
      <c r="I2071" s="76" t="s">
        <v>465</v>
      </c>
      <c r="J2071" s="76" t="s">
        <v>366</v>
      </c>
      <c r="K2071" s="76" t="s">
        <v>3381</v>
      </c>
      <c r="L2071" s="76" t="s">
        <v>475</v>
      </c>
      <c r="M2071" s="76" t="s">
        <v>3258</v>
      </c>
      <c r="N2071" s="76">
        <v>250</v>
      </c>
      <c r="O2071" s="76">
        <v>248</v>
      </c>
      <c r="P2071" s="78">
        <v>8.0000000000000002E-3</v>
      </c>
    </row>
    <row r="2072" spans="7:16" x14ac:dyDescent="0.3">
      <c r="G2072" t="s">
        <v>3784</v>
      </c>
      <c r="H2072" s="76" t="s">
        <v>394</v>
      </c>
      <c r="I2072" s="76" t="s">
        <v>395</v>
      </c>
      <c r="J2072" s="76" t="s">
        <v>372</v>
      </c>
      <c r="K2072" s="76" t="s">
        <v>3785</v>
      </c>
      <c r="L2072" s="76" t="s">
        <v>483</v>
      </c>
      <c r="M2072" s="76" t="s">
        <v>887</v>
      </c>
      <c r="N2072" s="76">
        <v>50</v>
      </c>
      <c r="O2072" s="76">
        <v>49</v>
      </c>
      <c r="P2072" s="78">
        <v>0.02</v>
      </c>
    </row>
    <row r="2073" spans="7:16" x14ac:dyDescent="0.3">
      <c r="G2073" t="s">
        <v>3786</v>
      </c>
      <c r="H2073" s="76" t="s">
        <v>358</v>
      </c>
      <c r="I2073" s="76" t="s">
        <v>359</v>
      </c>
      <c r="J2073" s="76" t="s">
        <v>360</v>
      </c>
      <c r="K2073" s="77">
        <v>42560</v>
      </c>
      <c r="L2073" s="76" t="s">
        <v>396</v>
      </c>
      <c r="M2073" s="76" t="s">
        <v>780</v>
      </c>
      <c r="N2073" s="76">
        <v>500</v>
      </c>
      <c r="O2073" s="76">
        <v>480</v>
      </c>
      <c r="P2073" s="78">
        <v>0.04</v>
      </c>
    </row>
    <row r="2074" spans="7:16" x14ac:dyDescent="0.3">
      <c r="G2074" t="s">
        <v>3787</v>
      </c>
      <c r="H2074" s="76" t="s">
        <v>497</v>
      </c>
      <c r="I2074" s="76" t="s">
        <v>445</v>
      </c>
      <c r="J2074" s="76" t="s">
        <v>384</v>
      </c>
      <c r="K2074" s="77">
        <v>41699</v>
      </c>
      <c r="L2074" s="76" t="s">
        <v>411</v>
      </c>
      <c r="M2074" s="76" t="s">
        <v>1828</v>
      </c>
      <c r="N2074" s="76">
        <v>1000</v>
      </c>
      <c r="O2074" s="76">
        <v>620</v>
      </c>
      <c r="P2074" s="78">
        <v>0.38</v>
      </c>
    </row>
    <row r="2075" spans="7:16" x14ac:dyDescent="0.3">
      <c r="G2075" t="s">
        <v>3788</v>
      </c>
      <c r="H2075" s="76" t="s">
        <v>364</v>
      </c>
      <c r="I2075" s="76" t="s">
        <v>365</v>
      </c>
      <c r="J2075" s="76" t="s">
        <v>366</v>
      </c>
      <c r="K2075" s="77">
        <v>42163</v>
      </c>
      <c r="L2075" s="76" t="s">
        <v>475</v>
      </c>
      <c r="M2075" s="76" t="s">
        <v>368</v>
      </c>
      <c r="N2075" s="76">
        <v>250</v>
      </c>
      <c r="O2075" s="76">
        <v>190</v>
      </c>
      <c r="P2075" s="78">
        <v>0.24</v>
      </c>
    </row>
    <row r="2076" spans="7:16" x14ac:dyDescent="0.3">
      <c r="G2076" t="s">
        <v>3789</v>
      </c>
      <c r="H2076" s="76" t="s">
        <v>403</v>
      </c>
      <c r="I2076" s="76" t="s">
        <v>404</v>
      </c>
      <c r="J2076" s="76" t="s">
        <v>360</v>
      </c>
      <c r="K2076" s="76" t="s">
        <v>1060</v>
      </c>
      <c r="L2076" s="76" t="s">
        <v>405</v>
      </c>
      <c r="M2076" s="76" t="s">
        <v>406</v>
      </c>
      <c r="N2076" s="76">
        <v>800</v>
      </c>
      <c r="O2076" s="76">
        <v>680</v>
      </c>
      <c r="P2076" s="78">
        <v>0.15</v>
      </c>
    </row>
    <row r="2077" spans="7:16" x14ac:dyDescent="0.3">
      <c r="G2077" t="s">
        <v>3790</v>
      </c>
      <c r="H2077" s="76" t="s">
        <v>421</v>
      </c>
      <c r="I2077" s="76" t="s">
        <v>422</v>
      </c>
      <c r="J2077" s="76" t="s">
        <v>384</v>
      </c>
      <c r="K2077" s="77">
        <v>43229</v>
      </c>
      <c r="L2077" s="76" t="s">
        <v>396</v>
      </c>
      <c r="M2077" s="76" t="s">
        <v>425</v>
      </c>
      <c r="N2077" s="76">
        <v>500</v>
      </c>
      <c r="O2077" s="76">
        <v>480</v>
      </c>
      <c r="P2077" s="78">
        <v>0.04</v>
      </c>
    </row>
    <row r="2078" spans="7:16" x14ac:dyDescent="0.3">
      <c r="G2078" t="s">
        <v>3791</v>
      </c>
      <c r="H2078" s="76" t="s">
        <v>891</v>
      </c>
      <c r="I2078" s="76" t="s">
        <v>892</v>
      </c>
      <c r="J2078" s="76" t="s">
        <v>372</v>
      </c>
      <c r="K2078" s="76" t="s">
        <v>1394</v>
      </c>
      <c r="L2078" s="76" t="s">
        <v>483</v>
      </c>
      <c r="M2078" s="76" t="s">
        <v>1459</v>
      </c>
      <c r="N2078" s="76">
        <v>50</v>
      </c>
      <c r="O2078" s="76">
        <v>49</v>
      </c>
      <c r="P2078" s="78">
        <v>0.02</v>
      </c>
    </row>
    <row r="2079" spans="7:16" x14ac:dyDescent="0.3">
      <c r="G2079" t="s">
        <v>3792</v>
      </c>
      <c r="H2079" s="76" t="s">
        <v>845</v>
      </c>
      <c r="I2079" s="76" t="s">
        <v>846</v>
      </c>
      <c r="J2079" s="76" t="s">
        <v>360</v>
      </c>
      <c r="K2079" s="76" t="s">
        <v>3793</v>
      </c>
      <c r="L2079" s="76" t="s">
        <v>361</v>
      </c>
      <c r="M2079" s="76" t="s">
        <v>903</v>
      </c>
      <c r="N2079" s="76">
        <v>80</v>
      </c>
      <c r="O2079" s="76">
        <v>58</v>
      </c>
      <c r="P2079" s="78">
        <v>0.27500000000000002</v>
      </c>
    </row>
    <row r="2080" spans="7:16" x14ac:dyDescent="0.3">
      <c r="G2080" t="s">
        <v>3794</v>
      </c>
      <c r="H2080" s="76" t="s">
        <v>700</v>
      </c>
      <c r="I2080" s="76" t="s">
        <v>465</v>
      </c>
      <c r="J2080" s="76" t="s">
        <v>366</v>
      </c>
      <c r="K2080" s="77">
        <v>42374</v>
      </c>
      <c r="L2080" s="76" t="s">
        <v>396</v>
      </c>
      <c r="M2080" s="76" t="s">
        <v>1486</v>
      </c>
      <c r="N2080" s="76">
        <v>500</v>
      </c>
      <c r="O2080" s="76">
        <v>500</v>
      </c>
      <c r="P2080" s="78">
        <v>0</v>
      </c>
    </row>
    <row r="2081" spans="7:16" x14ac:dyDescent="0.3">
      <c r="G2081" t="s">
        <v>3795</v>
      </c>
      <c r="H2081" s="76" t="s">
        <v>434</v>
      </c>
      <c r="I2081" s="76" t="s">
        <v>435</v>
      </c>
      <c r="J2081" s="76" t="s">
        <v>360</v>
      </c>
      <c r="K2081" s="76" t="s">
        <v>3796</v>
      </c>
      <c r="L2081" s="76" t="s">
        <v>373</v>
      </c>
      <c r="M2081" s="76" t="s">
        <v>1955</v>
      </c>
      <c r="N2081" s="76">
        <v>700</v>
      </c>
      <c r="O2081" s="76">
        <v>574</v>
      </c>
      <c r="P2081" s="78">
        <v>0.18</v>
      </c>
    </row>
    <row r="2082" spans="7:16" x14ac:dyDescent="0.3">
      <c r="G2082" t="s">
        <v>3797</v>
      </c>
      <c r="H2082" s="76" t="s">
        <v>638</v>
      </c>
      <c r="I2082" s="76" t="s">
        <v>639</v>
      </c>
      <c r="J2082" s="76" t="s">
        <v>360</v>
      </c>
      <c r="K2082" s="77">
        <v>43102</v>
      </c>
      <c r="L2082" s="76" t="s">
        <v>385</v>
      </c>
      <c r="M2082" s="76" t="s">
        <v>698</v>
      </c>
      <c r="N2082" s="76">
        <v>50</v>
      </c>
      <c r="O2082" s="76">
        <v>47</v>
      </c>
      <c r="P2082" s="78">
        <v>0.06</v>
      </c>
    </row>
    <row r="2083" spans="7:16" x14ac:dyDescent="0.3">
      <c r="G2083" t="s">
        <v>3798</v>
      </c>
      <c r="H2083" s="76" t="s">
        <v>485</v>
      </c>
      <c r="I2083" s="76" t="s">
        <v>389</v>
      </c>
      <c r="J2083" s="76" t="s">
        <v>384</v>
      </c>
      <c r="K2083" s="77">
        <v>43143</v>
      </c>
      <c r="L2083" s="76" t="s">
        <v>391</v>
      </c>
      <c r="M2083" s="76" t="s">
        <v>1534</v>
      </c>
      <c r="N2083" s="76">
        <v>30</v>
      </c>
      <c r="O2083" s="76">
        <v>26</v>
      </c>
      <c r="P2083" s="78">
        <v>0.1333</v>
      </c>
    </row>
    <row r="2084" spans="7:16" x14ac:dyDescent="0.3">
      <c r="G2084" t="s">
        <v>3799</v>
      </c>
      <c r="H2084" s="76" t="s">
        <v>382</v>
      </c>
      <c r="I2084" s="76" t="s">
        <v>383</v>
      </c>
      <c r="J2084" s="76" t="s">
        <v>384</v>
      </c>
      <c r="K2084" s="76" t="s">
        <v>3755</v>
      </c>
      <c r="L2084" s="76" t="s">
        <v>391</v>
      </c>
      <c r="M2084" s="76" t="s">
        <v>427</v>
      </c>
      <c r="N2084" s="76">
        <v>30</v>
      </c>
      <c r="O2084" s="76">
        <v>22</v>
      </c>
      <c r="P2084" s="78">
        <v>0.26669999999999999</v>
      </c>
    </row>
    <row r="2085" spans="7:16" x14ac:dyDescent="0.3">
      <c r="G2085" t="s">
        <v>3800</v>
      </c>
      <c r="H2085" s="76" t="s">
        <v>454</v>
      </c>
      <c r="I2085" s="76" t="s">
        <v>455</v>
      </c>
      <c r="J2085" s="76" t="s">
        <v>360</v>
      </c>
      <c r="K2085" s="77">
        <v>42045</v>
      </c>
      <c r="L2085" s="76" t="s">
        <v>373</v>
      </c>
      <c r="M2085" s="76" t="s">
        <v>1529</v>
      </c>
      <c r="N2085" s="76">
        <v>700</v>
      </c>
      <c r="O2085" s="76">
        <v>679</v>
      </c>
      <c r="P2085" s="78">
        <v>0.03</v>
      </c>
    </row>
    <row r="2086" spans="7:16" x14ac:dyDescent="0.3">
      <c r="G2086" t="s">
        <v>3801</v>
      </c>
      <c r="H2086" s="76" t="s">
        <v>656</v>
      </c>
      <c r="I2086" s="76" t="s">
        <v>657</v>
      </c>
      <c r="J2086" s="76" t="s">
        <v>360</v>
      </c>
      <c r="K2086" s="77">
        <v>41861</v>
      </c>
      <c r="L2086" s="76" t="s">
        <v>411</v>
      </c>
      <c r="M2086" s="76" t="s">
        <v>1921</v>
      </c>
      <c r="N2086" s="76">
        <v>1000</v>
      </c>
      <c r="O2086" s="76">
        <v>850</v>
      </c>
      <c r="P2086" s="78">
        <v>0.15</v>
      </c>
    </row>
    <row r="2087" spans="7:16" x14ac:dyDescent="0.3">
      <c r="G2087" t="s">
        <v>3802</v>
      </c>
      <c r="H2087" s="76" t="s">
        <v>459</v>
      </c>
      <c r="I2087" s="76" t="s">
        <v>422</v>
      </c>
      <c r="J2087" s="76" t="s">
        <v>384</v>
      </c>
      <c r="K2087" s="76" t="s">
        <v>3803</v>
      </c>
      <c r="L2087" s="76" t="s">
        <v>424</v>
      </c>
      <c r="M2087" s="76" t="s">
        <v>1283</v>
      </c>
      <c r="N2087" s="76">
        <v>500</v>
      </c>
      <c r="O2087" s="76">
        <v>490</v>
      </c>
      <c r="P2087" s="78">
        <v>0.02</v>
      </c>
    </row>
    <row r="2088" spans="7:16" x14ac:dyDescent="0.3">
      <c r="G2088" t="s">
        <v>3804</v>
      </c>
      <c r="H2088" s="76" t="s">
        <v>454</v>
      </c>
      <c r="I2088" s="76" t="s">
        <v>455</v>
      </c>
      <c r="J2088" s="76" t="s">
        <v>360</v>
      </c>
      <c r="K2088" s="77">
        <v>42529</v>
      </c>
      <c r="L2088" s="76" t="s">
        <v>461</v>
      </c>
      <c r="M2088" s="76" t="s">
        <v>457</v>
      </c>
      <c r="N2088" s="76">
        <v>70</v>
      </c>
      <c r="O2088" s="76">
        <v>70</v>
      </c>
      <c r="P2088" s="78">
        <v>0</v>
      </c>
    </row>
    <row r="2089" spans="7:16" x14ac:dyDescent="0.3">
      <c r="G2089" t="s">
        <v>3805</v>
      </c>
      <c r="H2089" s="76" t="s">
        <v>421</v>
      </c>
      <c r="I2089" s="76" t="s">
        <v>422</v>
      </c>
      <c r="J2089" s="76" t="s">
        <v>384</v>
      </c>
      <c r="K2089" s="76" t="s">
        <v>3806</v>
      </c>
      <c r="L2089" s="76" t="s">
        <v>396</v>
      </c>
      <c r="M2089" s="76" t="s">
        <v>752</v>
      </c>
      <c r="N2089" s="76">
        <v>500</v>
      </c>
      <c r="O2089" s="76">
        <v>455</v>
      </c>
      <c r="P2089" s="78">
        <v>0.09</v>
      </c>
    </row>
    <row r="2090" spans="7:16" x14ac:dyDescent="0.3">
      <c r="G2090" t="s">
        <v>3807</v>
      </c>
      <c r="H2090" s="76" t="s">
        <v>514</v>
      </c>
      <c r="I2090" s="76" t="s">
        <v>515</v>
      </c>
      <c r="J2090" s="76" t="s">
        <v>360</v>
      </c>
      <c r="K2090" s="76" t="s">
        <v>1916</v>
      </c>
      <c r="L2090" s="76" t="s">
        <v>391</v>
      </c>
      <c r="M2090" s="76" t="s">
        <v>2505</v>
      </c>
      <c r="N2090" s="76">
        <v>30</v>
      </c>
      <c r="O2090" s="76">
        <v>26</v>
      </c>
      <c r="P2090" s="78">
        <v>0.1333</v>
      </c>
    </row>
    <row r="2091" spans="7:16" x14ac:dyDescent="0.3">
      <c r="G2091" t="s">
        <v>3808</v>
      </c>
      <c r="H2091" s="76" t="s">
        <v>414</v>
      </c>
      <c r="I2091" s="76" t="s">
        <v>415</v>
      </c>
      <c r="J2091" s="76" t="s">
        <v>384</v>
      </c>
      <c r="K2091" s="77">
        <v>42979</v>
      </c>
      <c r="L2091" s="76" t="s">
        <v>461</v>
      </c>
      <c r="M2091" s="76" t="s">
        <v>1726</v>
      </c>
      <c r="N2091" s="76">
        <v>70</v>
      </c>
      <c r="O2091" s="76">
        <v>69</v>
      </c>
      <c r="P2091" s="78">
        <v>1.43E-2</v>
      </c>
    </row>
    <row r="2092" spans="7:16" x14ac:dyDescent="0.3">
      <c r="G2092" t="s">
        <v>3809</v>
      </c>
      <c r="H2092" s="76" t="s">
        <v>382</v>
      </c>
      <c r="I2092" s="76" t="s">
        <v>383</v>
      </c>
      <c r="J2092" s="76" t="s">
        <v>384</v>
      </c>
      <c r="K2092" s="77">
        <v>43323</v>
      </c>
      <c r="L2092" s="76" t="s">
        <v>361</v>
      </c>
      <c r="M2092" s="76" t="s">
        <v>1824</v>
      </c>
      <c r="N2092" s="76">
        <v>80</v>
      </c>
      <c r="O2092" s="76">
        <v>69</v>
      </c>
      <c r="P2092" s="78">
        <v>0.13750000000000001</v>
      </c>
    </row>
    <row r="2093" spans="7:16" x14ac:dyDescent="0.3">
      <c r="G2093" t="s">
        <v>3810</v>
      </c>
      <c r="H2093" s="76" t="s">
        <v>454</v>
      </c>
      <c r="I2093" s="76" t="s">
        <v>455</v>
      </c>
      <c r="J2093" s="76" t="s">
        <v>360</v>
      </c>
      <c r="K2093" s="76" t="s">
        <v>1315</v>
      </c>
      <c r="L2093" s="76" t="s">
        <v>379</v>
      </c>
      <c r="M2093" s="76" t="s">
        <v>1874</v>
      </c>
      <c r="N2093" s="76">
        <v>150</v>
      </c>
      <c r="O2093" s="76">
        <v>141</v>
      </c>
      <c r="P2093" s="78">
        <v>0.06</v>
      </c>
    </row>
    <row r="2094" spans="7:16" x14ac:dyDescent="0.3">
      <c r="G2094" t="s">
        <v>3811</v>
      </c>
      <c r="H2094" s="76" t="s">
        <v>524</v>
      </c>
      <c r="I2094" s="76" t="s">
        <v>465</v>
      </c>
      <c r="J2094" s="76" t="s">
        <v>366</v>
      </c>
      <c r="K2094" s="76" t="s">
        <v>1007</v>
      </c>
      <c r="L2094" s="76" t="s">
        <v>483</v>
      </c>
      <c r="M2094" s="76" t="s">
        <v>969</v>
      </c>
      <c r="N2094" s="76">
        <v>50</v>
      </c>
      <c r="O2094" s="76">
        <v>36</v>
      </c>
      <c r="P2094" s="78">
        <v>0.28000000000000003</v>
      </c>
    </row>
    <row r="2095" spans="7:16" x14ac:dyDescent="0.3">
      <c r="G2095" t="s">
        <v>3812</v>
      </c>
      <c r="H2095" s="76" t="s">
        <v>638</v>
      </c>
      <c r="I2095" s="76" t="s">
        <v>639</v>
      </c>
      <c r="J2095" s="76" t="s">
        <v>360</v>
      </c>
      <c r="K2095" s="77">
        <v>41710</v>
      </c>
      <c r="L2095" s="76" t="s">
        <v>405</v>
      </c>
      <c r="M2095" s="76" t="s">
        <v>782</v>
      </c>
      <c r="N2095" s="76">
        <v>800</v>
      </c>
      <c r="O2095" s="76">
        <v>608</v>
      </c>
      <c r="P2095" s="78">
        <v>0.24</v>
      </c>
    </row>
    <row r="2096" spans="7:16" x14ac:dyDescent="0.3">
      <c r="G2096" t="s">
        <v>3813</v>
      </c>
      <c r="H2096" s="76" t="s">
        <v>519</v>
      </c>
      <c r="I2096" s="76" t="s">
        <v>520</v>
      </c>
      <c r="J2096" s="76" t="s">
        <v>360</v>
      </c>
      <c r="K2096" s="77">
        <v>41795</v>
      </c>
      <c r="L2096" s="76" t="s">
        <v>424</v>
      </c>
      <c r="M2096" s="76" t="s">
        <v>564</v>
      </c>
      <c r="N2096" s="76">
        <v>500</v>
      </c>
      <c r="O2096" s="76">
        <v>495</v>
      </c>
      <c r="P2096" s="78">
        <v>0.01</v>
      </c>
    </row>
    <row r="2097" spans="7:16" x14ac:dyDescent="0.3">
      <c r="G2097" t="s">
        <v>3814</v>
      </c>
      <c r="H2097" s="76" t="s">
        <v>473</v>
      </c>
      <c r="I2097" s="76" t="s">
        <v>404</v>
      </c>
      <c r="J2097" s="76" t="s">
        <v>360</v>
      </c>
      <c r="K2097" s="76" t="s">
        <v>3815</v>
      </c>
      <c r="L2097" s="76" t="s">
        <v>379</v>
      </c>
      <c r="M2097" s="76" t="s">
        <v>802</v>
      </c>
      <c r="N2097" s="76">
        <v>150</v>
      </c>
      <c r="O2097" s="76">
        <v>126</v>
      </c>
      <c r="P2097" s="78">
        <v>0.16</v>
      </c>
    </row>
    <row r="2098" spans="7:16" x14ac:dyDescent="0.3">
      <c r="G2098" t="s">
        <v>3816</v>
      </c>
      <c r="H2098" s="76" t="s">
        <v>388</v>
      </c>
      <c r="I2098" s="76" t="s">
        <v>389</v>
      </c>
      <c r="J2098" s="76" t="s">
        <v>384</v>
      </c>
      <c r="K2098" s="77">
        <v>43314</v>
      </c>
      <c r="L2098" s="76" t="s">
        <v>385</v>
      </c>
      <c r="M2098" s="76" t="s">
        <v>2482</v>
      </c>
      <c r="N2098" s="76">
        <v>50</v>
      </c>
      <c r="O2098" s="76">
        <v>17</v>
      </c>
      <c r="P2098" s="78">
        <v>0.66</v>
      </c>
    </row>
    <row r="2099" spans="7:16" x14ac:dyDescent="0.3">
      <c r="G2099" t="s">
        <v>3817</v>
      </c>
      <c r="H2099" s="76" t="s">
        <v>376</v>
      </c>
      <c r="I2099" s="76" t="s">
        <v>377</v>
      </c>
      <c r="J2099" s="76" t="s">
        <v>360</v>
      </c>
      <c r="K2099" s="77">
        <v>42866</v>
      </c>
      <c r="L2099" s="76" t="s">
        <v>391</v>
      </c>
      <c r="M2099" s="76" t="s">
        <v>761</v>
      </c>
      <c r="N2099" s="76">
        <v>30</v>
      </c>
      <c r="O2099" s="76">
        <v>28</v>
      </c>
      <c r="P2099" s="78">
        <v>6.6699999999999995E-2</v>
      </c>
    </row>
    <row r="2100" spans="7:16" x14ac:dyDescent="0.3">
      <c r="G2100" t="s">
        <v>3818</v>
      </c>
      <c r="H2100" s="76" t="s">
        <v>464</v>
      </c>
      <c r="I2100" s="76" t="s">
        <v>465</v>
      </c>
      <c r="J2100" s="76" t="s">
        <v>366</v>
      </c>
      <c r="K2100" s="76" t="s">
        <v>3819</v>
      </c>
      <c r="L2100" s="76" t="s">
        <v>411</v>
      </c>
      <c r="M2100" s="76" t="s">
        <v>786</v>
      </c>
      <c r="N2100" s="76">
        <v>1000</v>
      </c>
      <c r="O2100" s="76">
        <v>810</v>
      </c>
      <c r="P2100" s="78">
        <v>0.19</v>
      </c>
    </row>
    <row r="2101" spans="7:16" x14ac:dyDescent="0.3">
      <c r="G2101" t="s">
        <v>3820</v>
      </c>
      <c r="H2101" s="76" t="s">
        <v>611</v>
      </c>
      <c r="I2101" s="76" t="s">
        <v>389</v>
      </c>
      <c r="J2101" s="76" t="s">
        <v>384</v>
      </c>
      <c r="K2101" s="76" t="s">
        <v>3048</v>
      </c>
      <c r="L2101" s="76" t="s">
        <v>373</v>
      </c>
      <c r="M2101" s="76" t="s">
        <v>3642</v>
      </c>
      <c r="N2101" s="76">
        <v>700</v>
      </c>
      <c r="O2101" s="76">
        <v>700</v>
      </c>
      <c r="P2101" s="78">
        <v>0</v>
      </c>
    </row>
    <row r="2102" spans="7:16" x14ac:dyDescent="0.3">
      <c r="G2102" t="s">
        <v>3821</v>
      </c>
      <c r="H2102" s="76" t="s">
        <v>560</v>
      </c>
      <c r="I2102" s="76" t="s">
        <v>465</v>
      </c>
      <c r="J2102" s="76" t="s">
        <v>366</v>
      </c>
      <c r="K2102" s="76" t="s">
        <v>1169</v>
      </c>
      <c r="L2102" s="76" t="s">
        <v>385</v>
      </c>
      <c r="M2102" s="76" t="s">
        <v>589</v>
      </c>
      <c r="N2102" s="76">
        <v>50</v>
      </c>
      <c r="O2102" s="76">
        <v>48</v>
      </c>
      <c r="P2102" s="78">
        <v>0.04</v>
      </c>
    </row>
    <row r="2103" spans="7:16" x14ac:dyDescent="0.3">
      <c r="G2103" t="s">
        <v>3822</v>
      </c>
      <c r="H2103" s="76" t="s">
        <v>3257</v>
      </c>
      <c r="I2103" s="76" t="s">
        <v>465</v>
      </c>
      <c r="J2103" s="76" t="s">
        <v>366</v>
      </c>
      <c r="K2103" s="76" t="s">
        <v>3823</v>
      </c>
      <c r="L2103" s="76" t="s">
        <v>483</v>
      </c>
      <c r="M2103" s="76" t="s">
        <v>3258</v>
      </c>
      <c r="N2103" s="76">
        <v>50</v>
      </c>
      <c r="O2103" s="76">
        <v>43</v>
      </c>
      <c r="P2103" s="78">
        <v>0.14000000000000001</v>
      </c>
    </row>
    <row r="2104" spans="7:16" x14ac:dyDescent="0.3">
      <c r="G2104" t="s">
        <v>3824</v>
      </c>
      <c r="H2104" s="76" t="s">
        <v>619</v>
      </c>
      <c r="I2104" s="76" t="s">
        <v>620</v>
      </c>
      <c r="J2104" s="76" t="s">
        <v>372</v>
      </c>
      <c r="K2104" s="76" t="s">
        <v>3825</v>
      </c>
      <c r="L2104" s="76" t="s">
        <v>405</v>
      </c>
      <c r="M2104" s="76" t="s">
        <v>621</v>
      </c>
      <c r="N2104" s="76">
        <v>800</v>
      </c>
      <c r="O2104" s="76">
        <v>504</v>
      </c>
      <c r="P2104" s="78">
        <v>0.37</v>
      </c>
    </row>
    <row r="2105" spans="7:16" x14ac:dyDescent="0.3">
      <c r="G2105" t="s">
        <v>3826</v>
      </c>
      <c r="H2105" s="76" t="s">
        <v>478</v>
      </c>
      <c r="I2105" s="76" t="s">
        <v>479</v>
      </c>
      <c r="J2105" s="76" t="s">
        <v>384</v>
      </c>
      <c r="K2105" s="77">
        <v>43377</v>
      </c>
      <c r="L2105" s="76" t="s">
        <v>361</v>
      </c>
      <c r="M2105" s="76" t="s">
        <v>1757</v>
      </c>
      <c r="N2105" s="76">
        <v>80</v>
      </c>
      <c r="O2105" s="76">
        <v>76</v>
      </c>
      <c r="P2105" s="78">
        <v>0.05</v>
      </c>
    </row>
    <row r="2106" spans="7:16" x14ac:dyDescent="0.3">
      <c r="G2106" t="s">
        <v>3827</v>
      </c>
      <c r="H2106" s="76" t="s">
        <v>414</v>
      </c>
      <c r="I2106" s="76" t="s">
        <v>415</v>
      </c>
      <c r="J2106" s="76" t="s">
        <v>384</v>
      </c>
      <c r="K2106" s="76" t="s">
        <v>3828</v>
      </c>
      <c r="L2106" s="76" t="s">
        <v>391</v>
      </c>
      <c r="M2106" s="76" t="s">
        <v>1479</v>
      </c>
      <c r="N2106" s="76">
        <v>30</v>
      </c>
      <c r="O2106" s="76">
        <v>29</v>
      </c>
      <c r="P2106" s="78">
        <v>3.3300000000000003E-2</v>
      </c>
    </row>
    <row r="2107" spans="7:16" x14ac:dyDescent="0.3">
      <c r="G2107" t="s">
        <v>3829</v>
      </c>
      <c r="H2107" s="76" t="s">
        <v>497</v>
      </c>
      <c r="I2107" s="76" t="s">
        <v>445</v>
      </c>
      <c r="J2107" s="76" t="s">
        <v>384</v>
      </c>
      <c r="K2107" s="76" t="s">
        <v>2397</v>
      </c>
      <c r="L2107" s="76" t="s">
        <v>373</v>
      </c>
      <c r="M2107" s="76" t="s">
        <v>810</v>
      </c>
      <c r="N2107" s="76">
        <v>700</v>
      </c>
      <c r="O2107" s="76">
        <v>644</v>
      </c>
      <c r="P2107" s="78">
        <v>0.08</v>
      </c>
    </row>
    <row r="2108" spans="7:16" x14ac:dyDescent="0.3">
      <c r="G2108" t="s">
        <v>3830</v>
      </c>
      <c r="H2108" s="76" t="s">
        <v>494</v>
      </c>
      <c r="I2108" s="76" t="s">
        <v>465</v>
      </c>
      <c r="J2108" s="76" t="s">
        <v>366</v>
      </c>
      <c r="K2108" s="76" t="s">
        <v>1967</v>
      </c>
      <c r="L2108" s="76" t="s">
        <v>461</v>
      </c>
      <c r="M2108" s="76" t="s">
        <v>600</v>
      </c>
      <c r="N2108" s="76">
        <v>70</v>
      </c>
      <c r="O2108" s="76">
        <v>69</v>
      </c>
      <c r="P2108" s="78">
        <v>1.43E-2</v>
      </c>
    </row>
    <row r="2109" spans="7:16" x14ac:dyDescent="0.3">
      <c r="G2109" t="s">
        <v>3831</v>
      </c>
      <c r="H2109" s="76" t="s">
        <v>478</v>
      </c>
      <c r="I2109" s="76" t="s">
        <v>479</v>
      </c>
      <c r="J2109" s="76" t="s">
        <v>384</v>
      </c>
      <c r="K2109" s="77">
        <v>43346</v>
      </c>
      <c r="L2109" s="76" t="s">
        <v>411</v>
      </c>
      <c r="M2109" s="76" t="s">
        <v>1448</v>
      </c>
      <c r="N2109" s="76">
        <v>1000</v>
      </c>
      <c r="O2109" s="76">
        <v>780</v>
      </c>
      <c r="P2109" s="78">
        <v>0.22</v>
      </c>
    </row>
    <row r="2110" spans="7:16" x14ac:dyDescent="0.3">
      <c r="G2110" t="s">
        <v>3832</v>
      </c>
      <c r="H2110" s="76" t="s">
        <v>459</v>
      </c>
      <c r="I2110" s="76" t="s">
        <v>422</v>
      </c>
      <c r="J2110" s="76" t="s">
        <v>384</v>
      </c>
      <c r="K2110" s="76" t="s">
        <v>3833</v>
      </c>
      <c r="L2110" s="76" t="s">
        <v>483</v>
      </c>
      <c r="M2110" s="76" t="s">
        <v>462</v>
      </c>
      <c r="N2110" s="76">
        <v>50</v>
      </c>
      <c r="O2110" s="76">
        <v>45</v>
      </c>
      <c r="P2110" s="78">
        <v>0.1</v>
      </c>
    </row>
    <row r="2111" spans="7:16" x14ac:dyDescent="0.3">
      <c r="G2111" t="s">
        <v>3834</v>
      </c>
      <c r="H2111" s="76" t="s">
        <v>403</v>
      </c>
      <c r="I2111" s="76" t="s">
        <v>404</v>
      </c>
      <c r="J2111" s="76" t="s">
        <v>360</v>
      </c>
      <c r="K2111" s="77">
        <v>41889</v>
      </c>
      <c r="L2111" s="76" t="s">
        <v>461</v>
      </c>
      <c r="M2111" s="76" t="s">
        <v>1403</v>
      </c>
      <c r="N2111" s="76">
        <v>70</v>
      </c>
      <c r="O2111" s="76">
        <v>70</v>
      </c>
      <c r="P2111" s="78">
        <v>0</v>
      </c>
    </row>
    <row r="2112" spans="7:16" x14ac:dyDescent="0.3">
      <c r="G2112" t="s">
        <v>3835</v>
      </c>
      <c r="H2112" s="76" t="s">
        <v>514</v>
      </c>
      <c r="I2112" s="76" t="s">
        <v>515</v>
      </c>
      <c r="J2112" s="76" t="s">
        <v>360</v>
      </c>
      <c r="K2112" s="77">
        <v>42187</v>
      </c>
      <c r="L2112" s="76" t="s">
        <v>475</v>
      </c>
      <c r="M2112" s="76" t="s">
        <v>2073</v>
      </c>
      <c r="N2112" s="76">
        <v>250</v>
      </c>
      <c r="O2112" s="76">
        <v>225</v>
      </c>
      <c r="P2112" s="78">
        <v>0.1</v>
      </c>
    </row>
    <row r="2113" spans="7:16" x14ac:dyDescent="0.3">
      <c r="G2113" t="s">
        <v>3836</v>
      </c>
      <c r="H2113" s="76" t="s">
        <v>429</v>
      </c>
      <c r="I2113" s="76" t="s">
        <v>430</v>
      </c>
      <c r="J2113" s="76" t="s">
        <v>384</v>
      </c>
      <c r="K2113" s="76" t="s">
        <v>3837</v>
      </c>
      <c r="L2113" s="76" t="s">
        <v>475</v>
      </c>
      <c r="M2113" s="76" t="s">
        <v>3490</v>
      </c>
      <c r="N2113" s="76">
        <v>250</v>
      </c>
      <c r="O2113" s="76">
        <v>205</v>
      </c>
      <c r="P2113" s="78">
        <v>0.18</v>
      </c>
    </row>
    <row r="2114" spans="7:16" x14ac:dyDescent="0.3">
      <c r="G2114" t="s">
        <v>3838</v>
      </c>
      <c r="H2114" s="76" t="s">
        <v>497</v>
      </c>
      <c r="I2114" s="76" t="s">
        <v>445</v>
      </c>
      <c r="J2114" s="76" t="s">
        <v>384</v>
      </c>
      <c r="K2114" s="76" t="s">
        <v>3839</v>
      </c>
      <c r="L2114" s="76" t="s">
        <v>379</v>
      </c>
      <c r="M2114" s="76" t="s">
        <v>1254</v>
      </c>
      <c r="N2114" s="76">
        <v>150</v>
      </c>
      <c r="O2114" s="76">
        <v>131</v>
      </c>
      <c r="P2114" s="78">
        <v>0.12670000000000001</v>
      </c>
    </row>
    <row r="2115" spans="7:16" x14ac:dyDescent="0.3">
      <c r="G2115" t="s">
        <v>3840</v>
      </c>
      <c r="H2115" s="76" t="s">
        <v>459</v>
      </c>
      <c r="I2115" s="76" t="s">
        <v>422</v>
      </c>
      <c r="J2115" s="76" t="s">
        <v>384</v>
      </c>
      <c r="K2115" s="76" t="s">
        <v>3841</v>
      </c>
      <c r="L2115" s="76" t="s">
        <v>391</v>
      </c>
      <c r="M2115" s="76" t="s">
        <v>462</v>
      </c>
      <c r="N2115" s="76">
        <v>30</v>
      </c>
      <c r="O2115" s="76">
        <v>23</v>
      </c>
      <c r="P2115" s="78">
        <v>0.23330000000000001</v>
      </c>
    </row>
    <row r="2116" spans="7:16" x14ac:dyDescent="0.3">
      <c r="G2116" t="s">
        <v>3842</v>
      </c>
      <c r="H2116" s="76" t="s">
        <v>414</v>
      </c>
      <c r="I2116" s="76" t="s">
        <v>415</v>
      </c>
      <c r="J2116" s="76" t="s">
        <v>384</v>
      </c>
      <c r="K2116" s="76" t="s">
        <v>2847</v>
      </c>
      <c r="L2116" s="76" t="s">
        <v>379</v>
      </c>
      <c r="M2116" s="76" t="s">
        <v>3525</v>
      </c>
      <c r="N2116" s="76">
        <v>150</v>
      </c>
      <c r="O2116" s="76">
        <v>150</v>
      </c>
      <c r="P2116" s="78">
        <v>0</v>
      </c>
    </row>
    <row r="2117" spans="7:16" x14ac:dyDescent="0.3">
      <c r="G2117" t="s">
        <v>3843</v>
      </c>
      <c r="H2117" s="76" t="s">
        <v>438</v>
      </c>
      <c r="I2117" s="76" t="s">
        <v>439</v>
      </c>
      <c r="J2117" s="76" t="s">
        <v>360</v>
      </c>
      <c r="K2117" s="76" t="s">
        <v>3690</v>
      </c>
      <c r="L2117" s="76" t="s">
        <v>461</v>
      </c>
      <c r="M2117" s="76" t="s">
        <v>1091</v>
      </c>
      <c r="N2117" s="76">
        <v>70</v>
      </c>
      <c r="O2117" s="76">
        <v>69</v>
      </c>
      <c r="P2117" s="78">
        <v>1.43E-2</v>
      </c>
    </row>
    <row r="2118" spans="7:16" x14ac:dyDescent="0.3">
      <c r="G2118" t="s">
        <v>3844</v>
      </c>
      <c r="H2118" s="76" t="s">
        <v>421</v>
      </c>
      <c r="I2118" s="76" t="s">
        <v>422</v>
      </c>
      <c r="J2118" s="76" t="s">
        <v>384</v>
      </c>
      <c r="K2118" s="76" t="s">
        <v>2435</v>
      </c>
      <c r="L2118" s="76" t="s">
        <v>379</v>
      </c>
      <c r="M2118" s="76" t="s">
        <v>2202</v>
      </c>
      <c r="N2118" s="76">
        <v>150</v>
      </c>
      <c r="O2118" s="76">
        <v>128</v>
      </c>
      <c r="P2118" s="78">
        <v>0.1467</v>
      </c>
    </row>
    <row r="2119" spans="7:16" x14ac:dyDescent="0.3">
      <c r="G2119" t="s">
        <v>3845</v>
      </c>
      <c r="H2119" s="76" t="s">
        <v>638</v>
      </c>
      <c r="I2119" s="76" t="s">
        <v>639</v>
      </c>
      <c r="J2119" s="76" t="s">
        <v>360</v>
      </c>
      <c r="K2119" s="76" t="s">
        <v>2708</v>
      </c>
      <c r="L2119" s="76" t="s">
        <v>483</v>
      </c>
      <c r="M2119" s="76" t="s">
        <v>1148</v>
      </c>
      <c r="N2119" s="76">
        <v>50</v>
      </c>
      <c r="O2119" s="76">
        <v>49</v>
      </c>
      <c r="P2119" s="78">
        <v>0.02</v>
      </c>
    </row>
    <row r="2120" spans="7:16" x14ac:dyDescent="0.3">
      <c r="G2120" t="s">
        <v>3846</v>
      </c>
      <c r="H2120" s="76" t="s">
        <v>638</v>
      </c>
      <c r="I2120" s="76" t="s">
        <v>639</v>
      </c>
      <c r="J2120" s="76" t="s">
        <v>360</v>
      </c>
      <c r="K2120" s="77">
        <v>42710</v>
      </c>
      <c r="L2120" s="76" t="s">
        <v>361</v>
      </c>
      <c r="M2120" s="76" t="s">
        <v>1008</v>
      </c>
      <c r="N2120" s="76">
        <v>80</v>
      </c>
      <c r="O2120" s="76">
        <v>70</v>
      </c>
      <c r="P2120" s="78">
        <v>0.125</v>
      </c>
    </row>
    <row r="2121" spans="7:16" x14ac:dyDescent="0.3">
      <c r="G2121" t="s">
        <v>3847</v>
      </c>
      <c r="H2121" s="76" t="s">
        <v>478</v>
      </c>
      <c r="I2121" s="76" t="s">
        <v>479</v>
      </c>
      <c r="J2121" s="76" t="s">
        <v>384</v>
      </c>
      <c r="K2121" s="77">
        <v>43168</v>
      </c>
      <c r="L2121" s="76" t="s">
        <v>361</v>
      </c>
      <c r="M2121" s="76" t="s">
        <v>1527</v>
      </c>
      <c r="N2121" s="76">
        <v>80</v>
      </c>
      <c r="O2121" s="76">
        <v>80</v>
      </c>
      <c r="P2121" s="78">
        <v>0</v>
      </c>
    </row>
    <row r="2122" spans="7:16" x14ac:dyDescent="0.3">
      <c r="G2122" t="s">
        <v>3848</v>
      </c>
      <c r="H2122" s="76" t="s">
        <v>566</v>
      </c>
      <c r="I2122" s="76" t="s">
        <v>567</v>
      </c>
      <c r="J2122" s="76" t="s">
        <v>360</v>
      </c>
      <c r="K2122" s="76" t="s">
        <v>3849</v>
      </c>
      <c r="L2122" s="76" t="s">
        <v>411</v>
      </c>
      <c r="M2122" s="76" t="s">
        <v>569</v>
      </c>
      <c r="N2122" s="76">
        <v>1000</v>
      </c>
      <c r="O2122" s="76">
        <v>870</v>
      </c>
      <c r="P2122" s="78">
        <v>0.13</v>
      </c>
    </row>
    <row r="2123" spans="7:16" x14ac:dyDescent="0.3">
      <c r="G2123" t="s">
        <v>3850</v>
      </c>
      <c r="H2123" s="76" t="s">
        <v>469</v>
      </c>
      <c r="I2123" s="76" t="s">
        <v>435</v>
      </c>
      <c r="J2123" s="76" t="s">
        <v>360</v>
      </c>
      <c r="K2123" s="76" t="s">
        <v>3851</v>
      </c>
      <c r="L2123" s="76" t="s">
        <v>483</v>
      </c>
      <c r="M2123" s="76" t="s">
        <v>1938</v>
      </c>
      <c r="N2123" s="76">
        <v>50</v>
      </c>
      <c r="O2123" s="76">
        <v>39</v>
      </c>
      <c r="P2123" s="78">
        <v>0.22</v>
      </c>
    </row>
    <row r="2124" spans="7:16" x14ac:dyDescent="0.3">
      <c r="G2124" t="s">
        <v>3852</v>
      </c>
      <c r="H2124" s="76" t="s">
        <v>656</v>
      </c>
      <c r="I2124" s="76" t="s">
        <v>657</v>
      </c>
      <c r="J2124" s="76" t="s">
        <v>360</v>
      </c>
      <c r="K2124" s="77">
        <v>42956</v>
      </c>
      <c r="L2124" s="76" t="s">
        <v>379</v>
      </c>
      <c r="M2124" s="76" t="s">
        <v>1010</v>
      </c>
      <c r="N2124" s="76">
        <v>150</v>
      </c>
      <c r="O2124" s="76">
        <v>138</v>
      </c>
      <c r="P2124" s="78">
        <v>0.08</v>
      </c>
    </row>
    <row r="2125" spans="7:16" x14ac:dyDescent="0.3">
      <c r="G2125" t="s">
        <v>3853</v>
      </c>
      <c r="H2125" s="76" t="s">
        <v>376</v>
      </c>
      <c r="I2125" s="76" t="s">
        <v>377</v>
      </c>
      <c r="J2125" s="76" t="s">
        <v>360</v>
      </c>
      <c r="K2125" s="77">
        <v>43012</v>
      </c>
      <c r="L2125" s="76" t="s">
        <v>361</v>
      </c>
      <c r="M2125" s="76" t="s">
        <v>906</v>
      </c>
      <c r="N2125" s="76">
        <v>80</v>
      </c>
      <c r="O2125" s="76">
        <v>75</v>
      </c>
      <c r="P2125" s="78">
        <v>6.25E-2</v>
      </c>
    </row>
    <row r="2126" spans="7:16" x14ac:dyDescent="0.3">
      <c r="G2126" t="s">
        <v>3854</v>
      </c>
      <c r="H2126" s="76" t="s">
        <v>473</v>
      </c>
      <c r="I2126" s="76" t="s">
        <v>404</v>
      </c>
      <c r="J2126" s="76" t="s">
        <v>360</v>
      </c>
      <c r="K2126" s="77">
        <v>41884</v>
      </c>
      <c r="L2126" s="76" t="s">
        <v>391</v>
      </c>
      <c r="M2126" s="76" t="s">
        <v>1942</v>
      </c>
      <c r="N2126" s="76">
        <v>30</v>
      </c>
      <c r="O2126" s="76">
        <v>29</v>
      </c>
      <c r="P2126" s="78">
        <v>3.3300000000000003E-2</v>
      </c>
    </row>
    <row r="2127" spans="7:16" x14ac:dyDescent="0.3">
      <c r="G2127" t="s">
        <v>3855</v>
      </c>
      <c r="H2127" s="76" t="s">
        <v>376</v>
      </c>
      <c r="I2127" s="76" t="s">
        <v>377</v>
      </c>
      <c r="J2127" s="76" t="s">
        <v>360</v>
      </c>
      <c r="K2127" s="77">
        <v>42624</v>
      </c>
      <c r="L2127" s="76" t="s">
        <v>461</v>
      </c>
      <c r="M2127" s="76" t="s">
        <v>2625</v>
      </c>
      <c r="N2127" s="76">
        <v>70</v>
      </c>
      <c r="O2127" s="76">
        <v>65</v>
      </c>
      <c r="P2127" s="78">
        <v>7.1400000000000005E-2</v>
      </c>
    </row>
    <row r="2128" spans="7:16" x14ac:dyDescent="0.3">
      <c r="G2128" t="s">
        <v>3856</v>
      </c>
      <c r="H2128" s="76" t="s">
        <v>469</v>
      </c>
      <c r="I2128" s="76" t="s">
        <v>435</v>
      </c>
      <c r="J2128" s="76" t="s">
        <v>360</v>
      </c>
      <c r="K2128" s="77">
        <v>42312</v>
      </c>
      <c r="L2128" s="76" t="s">
        <v>483</v>
      </c>
      <c r="M2128" s="76" t="s">
        <v>471</v>
      </c>
      <c r="N2128" s="76">
        <v>50</v>
      </c>
      <c r="O2128" s="76">
        <v>47</v>
      </c>
      <c r="P2128" s="78">
        <v>0.06</v>
      </c>
    </row>
    <row r="2129" spans="7:16" x14ac:dyDescent="0.3">
      <c r="G2129" t="s">
        <v>3857</v>
      </c>
      <c r="H2129" s="76" t="s">
        <v>3165</v>
      </c>
      <c r="I2129" s="76" t="s">
        <v>365</v>
      </c>
      <c r="J2129" s="76" t="s">
        <v>366</v>
      </c>
      <c r="K2129" s="76" t="s">
        <v>3040</v>
      </c>
      <c r="L2129" s="76" t="s">
        <v>379</v>
      </c>
      <c r="M2129" s="76" t="s">
        <v>3511</v>
      </c>
      <c r="N2129" s="76">
        <v>150</v>
      </c>
      <c r="O2129" s="76">
        <v>140</v>
      </c>
      <c r="P2129" s="78">
        <v>6.6699999999999995E-2</v>
      </c>
    </row>
    <row r="2130" spans="7:16" x14ac:dyDescent="0.3">
      <c r="G2130" t="s">
        <v>3858</v>
      </c>
      <c r="H2130" s="76" t="s">
        <v>370</v>
      </c>
      <c r="I2130" s="76" t="s">
        <v>371</v>
      </c>
      <c r="J2130" s="76" t="s">
        <v>372</v>
      </c>
      <c r="K2130" s="76" t="s">
        <v>599</v>
      </c>
      <c r="L2130" s="76" t="s">
        <v>475</v>
      </c>
      <c r="M2130" s="76" t="s">
        <v>958</v>
      </c>
      <c r="N2130" s="76">
        <v>250</v>
      </c>
      <c r="O2130" s="76">
        <v>228</v>
      </c>
      <c r="P2130" s="78">
        <v>8.7999999999999995E-2</v>
      </c>
    </row>
    <row r="2131" spans="7:16" x14ac:dyDescent="0.3">
      <c r="G2131" t="s">
        <v>3859</v>
      </c>
      <c r="H2131" s="76" t="s">
        <v>485</v>
      </c>
      <c r="I2131" s="76" t="s">
        <v>389</v>
      </c>
      <c r="J2131" s="76" t="s">
        <v>384</v>
      </c>
      <c r="K2131" s="76" t="s">
        <v>3860</v>
      </c>
      <c r="L2131" s="76" t="s">
        <v>461</v>
      </c>
      <c r="M2131" s="76" t="s">
        <v>487</v>
      </c>
      <c r="N2131" s="76">
        <v>70</v>
      </c>
      <c r="O2131" s="76">
        <v>50</v>
      </c>
      <c r="P2131" s="78">
        <v>0.28570000000000001</v>
      </c>
    </row>
    <row r="2132" spans="7:16" x14ac:dyDescent="0.3">
      <c r="G2132" t="s">
        <v>3861</v>
      </c>
      <c r="H2132" s="76" t="s">
        <v>444</v>
      </c>
      <c r="I2132" s="76" t="s">
        <v>445</v>
      </c>
      <c r="J2132" s="76" t="s">
        <v>384</v>
      </c>
      <c r="K2132" s="77">
        <v>42378</v>
      </c>
      <c r="L2132" s="76" t="s">
        <v>405</v>
      </c>
      <c r="M2132" s="76" t="s">
        <v>775</v>
      </c>
      <c r="N2132" s="76">
        <v>800</v>
      </c>
      <c r="O2132" s="76">
        <v>768</v>
      </c>
      <c r="P2132" s="78">
        <v>0.04</v>
      </c>
    </row>
    <row r="2133" spans="7:16" x14ac:dyDescent="0.3">
      <c r="G2133" t="s">
        <v>3862</v>
      </c>
      <c r="H2133" s="76" t="s">
        <v>528</v>
      </c>
      <c r="I2133" s="76" t="s">
        <v>465</v>
      </c>
      <c r="J2133" s="76" t="s">
        <v>366</v>
      </c>
      <c r="K2133" s="76" t="s">
        <v>2180</v>
      </c>
      <c r="L2133" s="76" t="s">
        <v>411</v>
      </c>
      <c r="M2133" s="76" t="s">
        <v>530</v>
      </c>
      <c r="N2133" s="76">
        <v>1000</v>
      </c>
      <c r="O2133" s="76">
        <v>590</v>
      </c>
      <c r="P2133" s="78">
        <v>0.41</v>
      </c>
    </row>
    <row r="2134" spans="7:16" x14ac:dyDescent="0.3">
      <c r="G2134" t="s">
        <v>3863</v>
      </c>
      <c r="H2134" s="76" t="s">
        <v>668</v>
      </c>
      <c r="I2134" s="76" t="s">
        <v>669</v>
      </c>
      <c r="J2134" s="76" t="s">
        <v>360</v>
      </c>
      <c r="K2134" s="77">
        <v>42649</v>
      </c>
      <c r="L2134" s="76" t="s">
        <v>385</v>
      </c>
      <c r="M2134" s="76" t="s">
        <v>1115</v>
      </c>
      <c r="N2134" s="76">
        <v>50</v>
      </c>
      <c r="O2134" s="76">
        <v>50</v>
      </c>
      <c r="P2134" s="78">
        <v>0</v>
      </c>
    </row>
    <row r="2135" spans="7:16" x14ac:dyDescent="0.3">
      <c r="G2135" t="s">
        <v>3864</v>
      </c>
      <c r="H2135" s="76" t="s">
        <v>358</v>
      </c>
      <c r="I2135" s="76" t="s">
        <v>359</v>
      </c>
      <c r="J2135" s="76" t="s">
        <v>360</v>
      </c>
      <c r="K2135" s="76" t="s">
        <v>3865</v>
      </c>
      <c r="L2135" s="76" t="s">
        <v>405</v>
      </c>
      <c r="M2135" s="76" t="s">
        <v>1858</v>
      </c>
      <c r="N2135" s="76">
        <v>800</v>
      </c>
      <c r="O2135" s="76">
        <v>776</v>
      </c>
      <c r="P2135" s="78">
        <v>0.03</v>
      </c>
    </row>
    <row r="2136" spans="7:16" x14ac:dyDescent="0.3">
      <c r="G2136" t="s">
        <v>3866</v>
      </c>
      <c r="H2136" s="76" t="s">
        <v>611</v>
      </c>
      <c r="I2136" s="76" t="s">
        <v>389</v>
      </c>
      <c r="J2136" s="76" t="s">
        <v>384</v>
      </c>
      <c r="K2136" s="77">
        <v>43435</v>
      </c>
      <c r="L2136" s="76" t="s">
        <v>391</v>
      </c>
      <c r="M2136" s="76" t="s">
        <v>2079</v>
      </c>
      <c r="N2136" s="76">
        <v>30</v>
      </c>
      <c r="O2136" s="76">
        <v>26</v>
      </c>
      <c r="P2136" s="78">
        <v>0.1333</v>
      </c>
    </row>
    <row r="2137" spans="7:16" x14ac:dyDescent="0.3">
      <c r="G2137" t="s">
        <v>3867</v>
      </c>
      <c r="H2137" s="76" t="s">
        <v>519</v>
      </c>
      <c r="I2137" s="76" t="s">
        <v>520</v>
      </c>
      <c r="J2137" s="76" t="s">
        <v>360</v>
      </c>
      <c r="K2137" s="76" t="s">
        <v>3417</v>
      </c>
      <c r="L2137" s="76" t="s">
        <v>396</v>
      </c>
      <c r="M2137" s="76" t="s">
        <v>3092</v>
      </c>
      <c r="N2137" s="76">
        <v>500</v>
      </c>
      <c r="O2137" s="76">
        <v>360</v>
      </c>
      <c r="P2137" s="78">
        <v>0.28000000000000003</v>
      </c>
    </row>
    <row r="2138" spans="7:16" x14ac:dyDescent="0.3">
      <c r="G2138" t="s">
        <v>3868</v>
      </c>
      <c r="H2138" s="76" t="s">
        <v>449</v>
      </c>
      <c r="I2138" s="76" t="s">
        <v>450</v>
      </c>
      <c r="J2138" s="76" t="s">
        <v>360</v>
      </c>
      <c r="K2138" s="77">
        <v>42986</v>
      </c>
      <c r="L2138" s="76" t="s">
        <v>379</v>
      </c>
      <c r="M2138" s="76" t="s">
        <v>558</v>
      </c>
      <c r="N2138" s="76">
        <v>150</v>
      </c>
      <c r="O2138" s="76">
        <v>126</v>
      </c>
      <c r="P2138" s="78">
        <v>0.16</v>
      </c>
    </row>
    <row r="2139" spans="7:16" x14ac:dyDescent="0.3">
      <c r="G2139" t="s">
        <v>3869</v>
      </c>
      <c r="H2139" s="76" t="s">
        <v>382</v>
      </c>
      <c r="I2139" s="76" t="s">
        <v>383</v>
      </c>
      <c r="J2139" s="76" t="s">
        <v>384</v>
      </c>
      <c r="K2139" s="77">
        <v>42404</v>
      </c>
      <c r="L2139" s="76" t="s">
        <v>405</v>
      </c>
      <c r="M2139" s="76" t="s">
        <v>3471</v>
      </c>
      <c r="N2139" s="76">
        <v>800</v>
      </c>
      <c r="O2139" s="76">
        <v>520</v>
      </c>
      <c r="P2139" s="78">
        <v>0.35</v>
      </c>
    </row>
    <row r="2140" spans="7:16" x14ac:dyDescent="0.3">
      <c r="G2140" t="s">
        <v>3870</v>
      </c>
      <c r="H2140" s="76" t="s">
        <v>560</v>
      </c>
      <c r="I2140" s="76" t="s">
        <v>465</v>
      </c>
      <c r="J2140" s="76" t="s">
        <v>366</v>
      </c>
      <c r="K2140" s="77">
        <v>43292</v>
      </c>
      <c r="L2140" s="76" t="s">
        <v>411</v>
      </c>
      <c r="M2140" s="76" t="s">
        <v>1994</v>
      </c>
      <c r="N2140" s="76">
        <v>1000</v>
      </c>
      <c r="O2140" s="76">
        <v>650</v>
      </c>
      <c r="P2140" s="78">
        <v>0.35</v>
      </c>
    </row>
    <row r="2141" spans="7:16" x14ac:dyDescent="0.3">
      <c r="G2141" t="s">
        <v>3871</v>
      </c>
      <c r="H2141" s="76" t="s">
        <v>497</v>
      </c>
      <c r="I2141" s="76" t="s">
        <v>445</v>
      </c>
      <c r="J2141" s="76" t="s">
        <v>384</v>
      </c>
      <c r="K2141" s="76" t="s">
        <v>3823</v>
      </c>
      <c r="L2141" s="76" t="s">
        <v>411</v>
      </c>
      <c r="M2141" s="76" t="s">
        <v>1254</v>
      </c>
      <c r="N2141" s="76">
        <v>1000</v>
      </c>
      <c r="O2141" s="76">
        <v>920</v>
      </c>
      <c r="P2141" s="78">
        <v>0.08</v>
      </c>
    </row>
    <row r="2142" spans="7:16" x14ac:dyDescent="0.3">
      <c r="G2142" t="s">
        <v>3872</v>
      </c>
      <c r="H2142" s="76" t="s">
        <v>403</v>
      </c>
      <c r="I2142" s="76" t="s">
        <v>404</v>
      </c>
      <c r="J2142" s="76" t="s">
        <v>360</v>
      </c>
      <c r="K2142" s="76" t="s">
        <v>1293</v>
      </c>
      <c r="L2142" s="76" t="s">
        <v>483</v>
      </c>
      <c r="M2142" s="76" t="s">
        <v>406</v>
      </c>
      <c r="N2142" s="76">
        <v>50</v>
      </c>
      <c r="O2142" s="76">
        <v>49</v>
      </c>
      <c r="P2142" s="78">
        <v>0.02</v>
      </c>
    </row>
    <row r="2143" spans="7:16" x14ac:dyDescent="0.3">
      <c r="G2143" t="s">
        <v>3873</v>
      </c>
      <c r="H2143" s="76" t="s">
        <v>449</v>
      </c>
      <c r="I2143" s="76" t="s">
        <v>450</v>
      </c>
      <c r="J2143" s="76" t="s">
        <v>360</v>
      </c>
      <c r="K2143" s="77">
        <v>43221</v>
      </c>
      <c r="L2143" s="76" t="s">
        <v>411</v>
      </c>
      <c r="M2143" s="76" t="s">
        <v>3124</v>
      </c>
      <c r="N2143" s="76">
        <v>1000</v>
      </c>
      <c r="O2143" s="76">
        <v>950</v>
      </c>
      <c r="P2143" s="78">
        <v>0.05</v>
      </c>
    </row>
    <row r="2144" spans="7:16" x14ac:dyDescent="0.3">
      <c r="G2144" t="s">
        <v>3874</v>
      </c>
      <c r="H2144" s="76" t="s">
        <v>464</v>
      </c>
      <c r="I2144" s="76" t="s">
        <v>465</v>
      </c>
      <c r="J2144" s="76" t="s">
        <v>366</v>
      </c>
      <c r="K2144" s="77">
        <v>42990</v>
      </c>
      <c r="L2144" s="76" t="s">
        <v>391</v>
      </c>
      <c r="M2144" s="76" t="s">
        <v>636</v>
      </c>
      <c r="N2144" s="76">
        <v>30</v>
      </c>
      <c r="O2144" s="76">
        <v>29</v>
      </c>
      <c r="P2144" s="78">
        <v>3.3300000000000003E-2</v>
      </c>
    </row>
    <row r="2145" spans="7:16" x14ac:dyDescent="0.3">
      <c r="G2145" t="s">
        <v>3875</v>
      </c>
      <c r="H2145" s="76" t="s">
        <v>638</v>
      </c>
      <c r="I2145" s="76" t="s">
        <v>639</v>
      </c>
      <c r="J2145" s="76" t="s">
        <v>360</v>
      </c>
      <c r="K2145" s="77">
        <v>41883</v>
      </c>
      <c r="L2145" s="76" t="s">
        <v>483</v>
      </c>
      <c r="M2145" s="76" t="s">
        <v>1008</v>
      </c>
      <c r="N2145" s="76">
        <v>50</v>
      </c>
      <c r="O2145" s="76">
        <v>37</v>
      </c>
      <c r="P2145" s="78">
        <v>0.26</v>
      </c>
    </row>
    <row r="2146" spans="7:16" x14ac:dyDescent="0.3">
      <c r="G2146" t="s">
        <v>3876</v>
      </c>
      <c r="H2146" s="76" t="s">
        <v>494</v>
      </c>
      <c r="I2146" s="76" t="s">
        <v>465</v>
      </c>
      <c r="J2146" s="76" t="s">
        <v>366</v>
      </c>
      <c r="K2146" s="76" t="s">
        <v>2339</v>
      </c>
      <c r="L2146" s="76" t="s">
        <v>391</v>
      </c>
      <c r="M2146" s="76" t="s">
        <v>947</v>
      </c>
      <c r="N2146" s="76">
        <v>30</v>
      </c>
      <c r="O2146" s="76">
        <v>23</v>
      </c>
      <c r="P2146" s="78">
        <v>0.23330000000000001</v>
      </c>
    </row>
    <row r="2147" spans="7:16" x14ac:dyDescent="0.3">
      <c r="G2147" t="s">
        <v>3877</v>
      </c>
      <c r="H2147" s="76" t="s">
        <v>429</v>
      </c>
      <c r="I2147" s="76" t="s">
        <v>430</v>
      </c>
      <c r="J2147" s="76" t="s">
        <v>384</v>
      </c>
      <c r="K2147" s="77">
        <v>42310</v>
      </c>
      <c r="L2147" s="76" t="s">
        <v>475</v>
      </c>
      <c r="M2147" s="76" t="s">
        <v>2681</v>
      </c>
      <c r="N2147" s="76">
        <v>250</v>
      </c>
      <c r="O2147" s="76">
        <v>168</v>
      </c>
      <c r="P2147" s="78">
        <v>0.32800000000000001</v>
      </c>
    </row>
    <row r="2148" spans="7:16" x14ac:dyDescent="0.3">
      <c r="G2148" t="s">
        <v>3878</v>
      </c>
      <c r="H2148" s="76" t="s">
        <v>434</v>
      </c>
      <c r="I2148" s="76" t="s">
        <v>435</v>
      </c>
      <c r="J2148" s="76" t="s">
        <v>360</v>
      </c>
      <c r="K2148" s="77">
        <v>43315</v>
      </c>
      <c r="L2148" s="76" t="s">
        <v>373</v>
      </c>
      <c r="M2148" s="76" t="s">
        <v>1955</v>
      </c>
      <c r="N2148" s="76">
        <v>700</v>
      </c>
      <c r="O2148" s="76">
        <v>609</v>
      </c>
      <c r="P2148" s="78">
        <v>0.13</v>
      </c>
    </row>
    <row r="2149" spans="7:16" x14ac:dyDescent="0.3">
      <c r="G2149" t="s">
        <v>3879</v>
      </c>
      <c r="H2149" s="76" t="s">
        <v>3165</v>
      </c>
      <c r="I2149" s="76" t="s">
        <v>365</v>
      </c>
      <c r="J2149" s="76" t="s">
        <v>366</v>
      </c>
      <c r="K2149" s="76" t="s">
        <v>2557</v>
      </c>
      <c r="L2149" s="76" t="s">
        <v>396</v>
      </c>
      <c r="M2149" s="76" t="s">
        <v>3403</v>
      </c>
      <c r="N2149" s="76">
        <v>500</v>
      </c>
      <c r="O2149" s="76">
        <v>470</v>
      </c>
      <c r="P2149" s="78">
        <v>0.06</v>
      </c>
    </row>
    <row r="2150" spans="7:16" x14ac:dyDescent="0.3">
      <c r="G2150" t="s">
        <v>3880</v>
      </c>
      <c r="H2150" s="76" t="s">
        <v>524</v>
      </c>
      <c r="I2150" s="76" t="s">
        <v>465</v>
      </c>
      <c r="J2150" s="76" t="s">
        <v>366</v>
      </c>
      <c r="K2150" s="77">
        <v>42412</v>
      </c>
      <c r="L2150" s="76" t="s">
        <v>361</v>
      </c>
      <c r="M2150" s="76" t="s">
        <v>969</v>
      </c>
      <c r="N2150" s="76">
        <v>80</v>
      </c>
      <c r="O2150" s="76">
        <v>79</v>
      </c>
      <c r="P2150" s="78">
        <v>1.2500000000000001E-2</v>
      </c>
    </row>
    <row r="2151" spans="7:16" x14ac:dyDescent="0.3">
      <c r="G2151" t="s">
        <v>3881</v>
      </c>
      <c r="H2151" s="76" t="s">
        <v>611</v>
      </c>
      <c r="I2151" s="76" t="s">
        <v>389</v>
      </c>
      <c r="J2151" s="76" t="s">
        <v>384</v>
      </c>
      <c r="K2151" s="76" t="s">
        <v>1793</v>
      </c>
      <c r="L2151" s="76" t="s">
        <v>379</v>
      </c>
      <c r="M2151" s="76" t="s">
        <v>3474</v>
      </c>
      <c r="N2151" s="76">
        <v>150</v>
      </c>
      <c r="O2151" s="76">
        <v>105</v>
      </c>
      <c r="P2151" s="78">
        <v>0.3</v>
      </c>
    </row>
    <row r="2152" spans="7:16" x14ac:dyDescent="0.3">
      <c r="G2152" t="s">
        <v>3882</v>
      </c>
      <c r="H2152" s="76" t="s">
        <v>619</v>
      </c>
      <c r="I2152" s="76" t="s">
        <v>620</v>
      </c>
      <c r="J2152" s="76" t="s">
        <v>372</v>
      </c>
      <c r="K2152" s="77">
        <v>42316</v>
      </c>
      <c r="L2152" s="76" t="s">
        <v>361</v>
      </c>
      <c r="M2152" s="76" t="s">
        <v>685</v>
      </c>
      <c r="N2152" s="76">
        <v>80</v>
      </c>
      <c r="O2152" s="76">
        <v>58</v>
      </c>
      <c r="P2152" s="78">
        <v>0.27500000000000002</v>
      </c>
    </row>
    <row r="2153" spans="7:16" x14ac:dyDescent="0.3">
      <c r="G2153" t="s">
        <v>3883</v>
      </c>
      <c r="H2153" s="76" t="s">
        <v>358</v>
      </c>
      <c r="I2153" s="76" t="s">
        <v>359</v>
      </c>
      <c r="J2153" s="76" t="s">
        <v>360</v>
      </c>
      <c r="K2153" s="77">
        <v>42219</v>
      </c>
      <c r="L2153" s="76" t="s">
        <v>405</v>
      </c>
      <c r="M2153" s="76" t="s">
        <v>683</v>
      </c>
      <c r="N2153" s="76">
        <v>800</v>
      </c>
      <c r="O2153" s="76">
        <v>744</v>
      </c>
      <c r="P2153" s="78">
        <v>7.0000000000000007E-2</v>
      </c>
    </row>
    <row r="2154" spans="7:16" x14ac:dyDescent="0.3">
      <c r="G2154" t="s">
        <v>3884</v>
      </c>
      <c r="H2154" s="76" t="s">
        <v>566</v>
      </c>
      <c r="I2154" s="76" t="s">
        <v>567</v>
      </c>
      <c r="J2154" s="76" t="s">
        <v>360</v>
      </c>
      <c r="K2154" s="77">
        <v>41859</v>
      </c>
      <c r="L2154" s="76" t="s">
        <v>373</v>
      </c>
      <c r="M2154" s="76" t="s">
        <v>1849</v>
      </c>
      <c r="N2154" s="76">
        <v>700</v>
      </c>
      <c r="O2154" s="76">
        <v>651</v>
      </c>
      <c r="P2154" s="78">
        <v>7.0000000000000007E-2</v>
      </c>
    </row>
    <row r="2155" spans="7:16" x14ac:dyDescent="0.3">
      <c r="G2155" t="s">
        <v>3885</v>
      </c>
      <c r="H2155" s="76" t="s">
        <v>429</v>
      </c>
      <c r="I2155" s="76" t="s">
        <v>430</v>
      </c>
      <c r="J2155" s="76" t="s">
        <v>384</v>
      </c>
      <c r="K2155" s="77">
        <v>42893</v>
      </c>
      <c r="L2155" s="76" t="s">
        <v>461</v>
      </c>
      <c r="M2155" s="76" t="s">
        <v>432</v>
      </c>
      <c r="N2155" s="76">
        <v>70</v>
      </c>
      <c r="O2155" s="76">
        <v>65</v>
      </c>
      <c r="P2155" s="78">
        <v>7.1400000000000005E-2</v>
      </c>
    </row>
    <row r="2156" spans="7:16" x14ac:dyDescent="0.3">
      <c r="G2156" t="s">
        <v>3886</v>
      </c>
      <c r="H2156" s="76" t="s">
        <v>464</v>
      </c>
      <c r="I2156" s="76" t="s">
        <v>465</v>
      </c>
      <c r="J2156" s="76" t="s">
        <v>366</v>
      </c>
      <c r="K2156" s="76" t="s">
        <v>3887</v>
      </c>
      <c r="L2156" s="76" t="s">
        <v>361</v>
      </c>
      <c r="M2156" s="76" t="s">
        <v>1575</v>
      </c>
      <c r="N2156" s="76">
        <v>80</v>
      </c>
      <c r="O2156" s="76">
        <v>75</v>
      </c>
      <c r="P2156" s="78">
        <v>6.25E-2</v>
      </c>
    </row>
    <row r="2157" spans="7:16" x14ac:dyDescent="0.3">
      <c r="G2157" t="s">
        <v>3888</v>
      </c>
      <c r="H2157" s="76" t="s">
        <v>394</v>
      </c>
      <c r="I2157" s="76" t="s">
        <v>395</v>
      </c>
      <c r="J2157" s="76" t="s">
        <v>372</v>
      </c>
      <c r="K2157" s="76" t="s">
        <v>632</v>
      </c>
      <c r="L2157" s="76" t="s">
        <v>396</v>
      </c>
      <c r="M2157" s="76" t="s">
        <v>887</v>
      </c>
      <c r="N2157" s="76">
        <v>500</v>
      </c>
      <c r="O2157" s="76">
        <v>500</v>
      </c>
      <c r="P2157" s="78">
        <v>0</v>
      </c>
    </row>
    <row r="2158" spans="7:16" x14ac:dyDescent="0.3">
      <c r="G2158" t="s">
        <v>3889</v>
      </c>
      <c r="H2158" s="76" t="s">
        <v>403</v>
      </c>
      <c r="I2158" s="76" t="s">
        <v>404</v>
      </c>
      <c r="J2158" s="76" t="s">
        <v>360</v>
      </c>
      <c r="K2158" s="76" t="s">
        <v>3890</v>
      </c>
      <c r="L2158" s="76" t="s">
        <v>424</v>
      </c>
      <c r="M2158" s="76" t="s">
        <v>1403</v>
      </c>
      <c r="N2158" s="76">
        <v>500</v>
      </c>
      <c r="O2158" s="76">
        <v>495</v>
      </c>
      <c r="P2158" s="78">
        <v>0.01</v>
      </c>
    </row>
    <row r="2159" spans="7:16" x14ac:dyDescent="0.3">
      <c r="G2159" t="s">
        <v>3891</v>
      </c>
      <c r="H2159" s="76" t="s">
        <v>478</v>
      </c>
      <c r="I2159" s="76" t="s">
        <v>479</v>
      </c>
      <c r="J2159" s="76" t="s">
        <v>384</v>
      </c>
      <c r="K2159" s="76" t="s">
        <v>1363</v>
      </c>
      <c r="L2159" s="76" t="s">
        <v>373</v>
      </c>
      <c r="M2159" s="76" t="s">
        <v>1512</v>
      </c>
      <c r="N2159" s="76">
        <v>700</v>
      </c>
      <c r="O2159" s="76">
        <v>665</v>
      </c>
      <c r="P2159" s="78">
        <v>0.05</v>
      </c>
    </row>
    <row r="2160" spans="7:16" x14ac:dyDescent="0.3">
      <c r="G2160" t="s">
        <v>3892</v>
      </c>
      <c r="H2160" s="76" t="s">
        <v>449</v>
      </c>
      <c r="I2160" s="76" t="s">
        <v>450</v>
      </c>
      <c r="J2160" s="76" t="s">
        <v>360</v>
      </c>
      <c r="K2160" s="76" t="s">
        <v>2701</v>
      </c>
      <c r="L2160" s="76" t="s">
        <v>475</v>
      </c>
      <c r="M2160" s="76" t="s">
        <v>606</v>
      </c>
      <c r="N2160" s="76">
        <v>250</v>
      </c>
      <c r="O2160" s="76">
        <v>230</v>
      </c>
      <c r="P2160" s="78">
        <v>0.08</v>
      </c>
    </row>
    <row r="2161" spans="7:16" x14ac:dyDescent="0.3">
      <c r="G2161" t="s">
        <v>3893</v>
      </c>
      <c r="H2161" s="76" t="s">
        <v>434</v>
      </c>
      <c r="I2161" s="76" t="s">
        <v>435</v>
      </c>
      <c r="J2161" s="76" t="s">
        <v>360</v>
      </c>
      <c r="K2161" s="76" t="s">
        <v>2578</v>
      </c>
      <c r="L2161" s="76" t="s">
        <v>379</v>
      </c>
      <c r="M2161" s="76" t="s">
        <v>1712</v>
      </c>
      <c r="N2161" s="76">
        <v>150</v>
      </c>
      <c r="O2161" s="76">
        <v>143</v>
      </c>
      <c r="P2161" s="78">
        <v>4.6699999999999998E-2</v>
      </c>
    </row>
    <row r="2162" spans="7:16" x14ac:dyDescent="0.3">
      <c r="G2162" t="s">
        <v>3894</v>
      </c>
      <c r="H2162" s="76" t="s">
        <v>891</v>
      </c>
      <c r="I2162" s="76" t="s">
        <v>892</v>
      </c>
      <c r="J2162" s="76" t="s">
        <v>372</v>
      </c>
      <c r="K2162" s="76" t="s">
        <v>3674</v>
      </c>
      <c r="L2162" s="76" t="s">
        <v>475</v>
      </c>
      <c r="M2162" s="76" t="s">
        <v>931</v>
      </c>
      <c r="N2162" s="76">
        <v>250</v>
      </c>
      <c r="O2162" s="76">
        <v>230</v>
      </c>
      <c r="P2162" s="78">
        <v>0.08</v>
      </c>
    </row>
    <row r="2163" spans="7:16" x14ac:dyDescent="0.3">
      <c r="G2163" t="s">
        <v>3895</v>
      </c>
      <c r="H2163" s="76" t="s">
        <v>370</v>
      </c>
      <c r="I2163" s="76" t="s">
        <v>371</v>
      </c>
      <c r="J2163" s="76" t="s">
        <v>372</v>
      </c>
      <c r="K2163" s="77">
        <v>42010</v>
      </c>
      <c r="L2163" s="76" t="s">
        <v>373</v>
      </c>
      <c r="M2163" s="76" t="s">
        <v>731</v>
      </c>
      <c r="N2163" s="76">
        <v>700</v>
      </c>
      <c r="O2163" s="76">
        <v>665</v>
      </c>
      <c r="P2163" s="78">
        <v>0.05</v>
      </c>
    </row>
    <row r="2164" spans="7:16" x14ac:dyDescent="0.3">
      <c r="G2164" t="s">
        <v>3896</v>
      </c>
      <c r="H2164" s="76" t="s">
        <v>3257</v>
      </c>
      <c r="I2164" s="76" t="s">
        <v>465</v>
      </c>
      <c r="J2164" s="76" t="s">
        <v>366</v>
      </c>
      <c r="K2164" s="76" t="s">
        <v>1048</v>
      </c>
      <c r="L2164" s="76" t="s">
        <v>475</v>
      </c>
      <c r="M2164" s="76" t="s">
        <v>3897</v>
      </c>
      <c r="N2164" s="76">
        <v>250</v>
      </c>
      <c r="O2164" s="76">
        <v>245</v>
      </c>
      <c r="P2164" s="78">
        <v>0.02</v>
      </c>
    </row>
    <row r="2165" spans="7:16" x14ac:dyDescent="0.3">
      <c r="G2165" t="s">
        <v>3898</v>
      </c>
      <c r="H2165" s="76" t="s">
        <v>524</v>
      </c>
      <c r="I2165" s="76" t="s">
        <v>465</v>
      </c>
      <c r="J2165" s="76" t="s">
        <v>366</v>
      </c>
      <c r="K2165" s="77">
        <v>41707</v>
      </c>
      <c r="L2165" s="76" t="s">
        <v>385</v>
      </c>
      <c r="M2165" s="76" t="s">
        <v>969</v>
      </c>
      <c r="N2165" s="76">
        <v>50</v>
      </c>
      <c r="O2165" s="76">
        <v>38</v>
      </c>
      <c r="P2165" s="78">
        <v>0.24</v>
      </c>
    </row>
    <row r="2166" spans="7:16" x14ac:dyDescent="0.3">
      <c r="G2166" t="s">
        <v>3899</v>
      </c>
      <c r="H2166" s="76" t="s">
        <v>497</v>
      </c>
      <c r="I2166" s="76" t="s">
        <v>445</v>
      </c>
      <c r="J2166" s="76" t="s">
        <v>384</v>
      </c>
      <c r="K2166" s="76" t="s">
        <v>2375</v>
      </c>
      <c r="L2166" s="76" t="s">
        <v>461</v>
      </c>
      <c r="M2166" s="76" t="s">
        <v>1030</v>
      </c>
      <c r="N2166" s="76">
        <v>70</v>
      </c>
      <c r="O2166" s="76">
        <v>64</v>
      </c>
      <c r="P2166" s="78">
        <v>8.5699999999999998E-2</v>
      </c>
    </row>
    <row r="2167" spans="7:16" x14ac:dyDescent="0.3">
      <c r="G2167" t="s">
        <v>3900</v>
      </c>
      <c r="H2167" s="76" t="s">
        <v>485</v>
      </c>
      <c r="I2167" s="76" t="s">
        <v>389</v>
      </c>
      <c r="J2167" s="76" t="s">
        <v>384</v>
      </c>
      <c r="K2167" s="76" t="s">
        <v>1862</v>
      </c>
      <c r="L2167" s="76" t="s">
        <v>475</v>
      </c>
      <c r="M2167" s="76" t="s">
        <v>1534</v>
      </c>
      <c r="N2167" s="76">
        <v>250</v>
      </c>
      <c r="O2167" s="76">
        <v>238</v>
      </c>
      <c r="P2167" s="78">
        <v>4.8000000000000001E-2</v>
      </c>
    </row>
    <row r="2168" spans="7:16" x14ac:dyDescent="0.3">
      <c r="G2168" t="s">
        <v>3901</v>
      </c>
      <c r="H2168" s="76" t="s">
        <v>469</v>
      </c>
      <c r="I2168" s="76" t="s">
        <v>435</v>
      </c>
      <c r="J2168" s="76" t="s">
        <v>360</v>
      </c>
      <c r="K2168" s="77">
        <v>42526</v>
      </c>
      <c r="L2168" s="76" t="s">
        <v>379</v>
      </c>
      <c r="M2168" s="76" t="s">
        <v>1128</v>
      </c>
      <c r="N2168" s="76">
        <v>150</v>
      </c>
      <c r="O2168" s="76">
        <v>137</v>
      </c>
      <c r="P2168" s="78">
        <v>8.6699999999999999E-2</v>
      </c>
    </row>
    <row r="2169" spans="7:16" x14ac:dyDescent="0.3">
      <c r="G2169" t="s">
        <v>3902</v>
      </c>
      <c r="H2169" s="76" t="s">
        <v>547</v>
      </c>
      <c r="I2169" s="76" t="s">
        <v>548</v>
      </c>
      <c r="J2169" s="76" t="s">
        <v>360</v>
      </c>
      <c r="K2169" s="76" t="s">
        <v>3903</v>
      </c>
      <c r="L2169" s="76" t="s">
        <v>405</v>
      </c>
      <c r="M2169" s="76" t="s">
        <v>1567</v>
      </c>
      <c r="N2169" s="76">
        <v>800</v>
      </c>
      <c r="O2169" s="76">
        <v>520</v>
      </c>
      <c r="P2169" s="78">
        <v>0.35</v>
      </c>
    </row>
    <row r="2170" spans="7:16" x14ac:dyDescent="0.3">
      <c r="G2170" t="s">
        <v>3904</v>
      </c>
      <c r="H2170" s="76" t="s">
        <v>566</v>
      </c>
      <c r="I2170" s="76" t="s">
        <v>567</v>
      </c>
      <c r="J2170" s="76" t="s">
        <v>360</v>
      </c>
      <c r="K2170" s="77">
        <v>42010</v>
      </c>
      <c r="L2170" s="76" t="s">
        <v>361</v>
      </c>
      <c r="M2170" s="76" t="s">
        <v>1370</v>
      </c>
      <c r="N2170" s="76">
        <v>80</v>
      </c>
      <c r="O2170" s="76">
        <v>80</v>
      </c>
      <c r="P2170" s="78">
        <v>0</v>
      </c>
    </row>
    <row r="2171" spans="7:16" x14ac:dyDescent="0.3">
      <c r="G2171" t="s">
        <v>3905</v>
      </c>
      <c r="H2171" s="76" t="s">
        <v>454</v>
      </c>
      <c r="I2171" s="76" t="s">
        <v>455</v>
      </c>
      <c r="J2171" s="76" t="s">
        <v>360</v>
      </c>
      <c r="K2171" s="76" t="s">
        <v>3906</v>
      </c>
      <c r="L2171" s="76" t="s">
        <v>361</v>
      </c>
      <c r="M2171" s="76" t="s">
        <v>1577</v>
      </c>
      <c r="N2171" s="76">
        <v>80</v>
      </c>
      <c r="O2171" s="76">
        <v>62</v>
      </c>
      <c r="P2171" s="78">
        <v>0.22500000000000001</v>
      </c>
    </row>
    <row r="2172" spans="7:16" x14ac:dyDescent="0.3">
      <c r="G2172" t="s">
        <v>3907</v>
      </c>
      <c r="H2172" s="76" t="s">
        <v>403</v>
      </c>
      <c r="I2172" s="76" t="s">
        <v>404</v>
      </c>
      <c r="J2172" s="76" t="s">
        <v>360</v>
      </c>
      <c r="K2172" s="76" t="s">
        <v>3839</v>
      </c>
      <c r="L2172" s="76" t="s">
        <v>385</v>
      </c>
      <c r="M2172" s="76" t="s">
        <v>1178</v>
      </c>
      <c r="N2172" s="76">
        <v>50</v>
      </c>
      <c r="O2172" s="76">
        <v>50</v>
      </c>
      <c r="P2172" s="78">
        <v>0</v>
      </c>
    </row>
    <row r="2173" spans="7:16" x14ac:dyDescent="0.3">
      <c r="G2173" t="s">
        <v>3908</v>
      </c>
      <c r="H2173" s="76" t="s">
        <v>494</v>
      </c>
      <c r="I2173" s="76" t="s">
        <v>465</v>
      </c>
      <c r="J2173" s="76" t="s">
        <v>366</v>
      </c>
      <c r="K2173" s="76" t="s">
        <v>1388</v>
      </c>
      <c r="L2173" s="76" t="s">
        <v>405</v>
      </c>
      <c r="M2173" s="76" t="s">
        <v>1233</v>
      </c>
      <c r="N2173" s="76">
        <v>800</v>
      </c>
      <c r="O2173" s="76">
        <v>640</v>
      </c>
      <c r="P2173" s="78">
        <v>0.2</v>
      </c>
    </row>
    <row r="2174" spans="7:16" x14ac:dyDescent="0.3">
      <c r="G2174" t="s">
        <v>3909</v>
      </c>
      <c r="H2174" s="76" t="s">
        <v>845</v>
      </c>
      <c r="I2174" s="76" t="s">
        <v>846</v>
      </c>
      <c r="J2174" s="76" t="s">
        <v>360</v>
      </c>
      <c r="K2174" s="76" t="s">
        <v>3910</v>
      </c>
      <c r="L2174" s="76" t="s">
        <v>391</v>
      </c>
      <c r="M2174" s="76" t="s">
        <v>2025</v>
      </c>
      <c r="N2174" s="76">
        <v>30</v>
      </c>
      <c r="O2174" s="76">
        <v>21</v>
      </c>
      <c r="P2174" s="78">
        <v>0.3</v>
      </c>
    </row>
    <row r="2175" spans="7:16" x14ac:dyDescent="0.3">
      <c r="G2175" t="s">
        <v>3911</v>
      </c>
      <c r="H2175" s="76" t="s">
        <v>3165</v>
      </c>
      <c r="I2175" s="76" t="s">
        <v>365</v>
      </c>
      <c r="J2175" s="76" t="s">
        <v>366</v>
      </c>
      <c r="K2175" s="77">
        <v>41675</v>
      </c>
      <c r="L2175" s="76" t="s">
        <v>411</v>
      </c>
      <c r="M2175" s="76" t="s">
        <v>3912</v>
      </c>
      <c r="N2175" s="76">
        <v>1000</v>
      </c>
      <c r="O2175" s="76">
        <v>780</v>
      </c>
      <c r="P2175" s="78">
        <v>0.22</v>
      </c>
    </row>
    <row r="2176" spans="7:16" x14ac:dyDescent="0.3">
      <c r="G2176" t="s">
        <v>3913</v>
      </c>
      <c r="H2176" s="76" t="s">
        <v>449</v>
      </c>
      <c r="I2176" s="76" t="s">
        <v>450</v>
      </c>
      <c r="J2176" s="76" t="s">
        <v>360</v>
      </c>
      <c r="K2176" s="76" t="s">
        <v>3078</v>
      </c>
      <c r="L2176" s="76" t="s">
        <v>373</v>
      </c>
      <c r="M2176" s="76" t="s">
        <v>452</v>
      </c>
      <c r="N2176" s="76">
        <v>700</v>
      </c>
      <c r="O2176" s="76">
        <v>679</v>
      </c>
      <c r="P2176" s="78">
        <v>0.03</v>
      </c>
    </row>
    <row r="2177" spans="7:16" x14ac:dyDescent="0.3">
      <c r="G2177" t="s">
        <v>3914</v>
      </c>
      <c r="H2177" s="76" t="s">
        <v>421</v>
      </c>
      <c r="I2177" s="76" t="s">
        <v>422</v>
      </c>
      <c r="J2177" s="76" t="s">
        <v>384</v>
      </c>
      <c r="K2177" s="76" t="s">
        <v>1272</v>
      </c>
      <c r="L2177" s="76" t="s">
        <v>385</v>
      </c>
      <c r="M2177" s="76" t="s">
        <v>3323</v>
      </c>
      <c r="N2177" s="76">
        <v>50</v>
      </c>
      <c r="O2177" s="76">
        <v>50</v>
      </c>
      <c r="P2177" s="78">
        <v>0</v>
      </c>
    </row>
    <row r="2178" spans="7:16" x14ac:dyDescent="0.3">
      <c r="G2178" t="s">
        <v>3915</v>
      </c>
      <c r="H2178" s="76" t="s">
        <v>528</v>
      </c>
      <c r="I2178" s="76" t="s">
        <v>465</v>
      </c>
      <c r="J2178" s="76" t="s">
        <v>366</v>
      </c>
      <c r="K2178" s="77">
        <v>42075</v>
      </c>
      <c r="L2178" s="76" t="s">
        <v>461</v>
      </c>
      <c r="M2178" s="76" t="s">
        <v>723</v>
      </c>
      <c r="N2178" s="76">
        <v>70</v>
      </c>
      <c r="O2178" s="76">
        <v>55</v>
      </c>
      <c r="P2178" s="78">
        <v>0.21429999999999999</v>
      </c>
    </row>
    <row r="2179" spans="7:16" x14ac:dyDescent="0.3">
      <c r="G2179" t="s">
        <v>3916</v>
      </c>
      <c r="H2179" s="76" t="s">
        <v>845</v>
      </c>
      <c r="I2179" s="76" t="s">
        <v>846</v>
      </c>
      <c r="J2179" s="76" t="s">
        <v>360</v>
      </c>
      <c r="K2179" s="76" t="s">
        <v>3917</v>
      </c>
      <c r="L2179" s="76" t="s">
        <v>405</v>
      </c>
      <c r="M2179" s="76" t="s">
        <v>963</v>
      </c>
      <c r="N2179" s="76">
        <v>800</v>
      </c>
      <c r="O2179" s="76">
        <v>800</v>
      </c>
      <c r="P2179" s="78">
        <v>0</v>
      </c>
    </row>
    <row r="2180" spans="7:16" x14ac:dyDescent="0.3">
      <c r="G2180" t="s">
        <v>3918</v>
      </c>
      <c r="H2180" s="76" t="s">
        <v>414</v>
      </c>
      <c r="I2180" s="76" t="s">
        <v>415</v>
      </c>
      <c r="J2180" s="76" t="s">
        <v>384</v>
      </c>
      <c r="K2180" s="77">
        <v>43081</v>
      </c>
      <c r="L2180" s="76" t="s">
        <v>385</v>
      </c>
      <c r="M2180" s="76" t="s">
        <v>3525</v>
      </c>
      <c r="N2180" s="76">
        <v>50</v>
      </c>
      <c r="O2180" s="76">
        <v>50</v>
      </c>
      <c r="P2180" s="78">
        <v>0</v>
      </c>
    </row>
    <row r="2181" spans="7:16" x14ac:dyDescent="0.3">
      <c r="G2181" t="s">
        <v>3919</v>
      </c>
      <c r="H2181" s="76" t="s">
        <v>364</v>
      </c>
      <c r="I2181" s="76" t="s">
        <v>365</v>
      </c>
      <c r="J2181" s="76" t="s">
        <v>366</v>
      </c>
      <c r="K2181" s="76" t="s">
        <v>2064</v>
      </c>
      <c r="L2181" s="76" t="s">
        <v>361</v>
      </c>
      <c r="M2181" s="76" t="s">
        <v>1350</v>
      </c>
      <c r="N2181" s="76">
        <v>80</v>
      </c>
      <c r="O2181" s="76">
        <v>59</v>
      </c>
      <c r="P2181" s="78">
        <v>0.26250000000000001</v>
      </c>
    </row>
    <row r="2182" spans="7:16" x14ac:dyDescent="0.3">
      <c r="G2182" t="s">
        <v>3920</v>
      </c>
      <c r="H2182" s="76" t="s">
        <v>700</v>
      </c>
      <c r="I2182" s="76" t="s">
        <v>465</v>
      </c>
      <c r="J2182" s="76" t="s">
        <v>366</v>
      </c>
      <c r="K2182" s="77">
        <v>42312</v>
      </c>
      <c r="L2182" s="76" t="s">
        <v>391</v>
      </c>
      <c r="M2182" s="76" t="s">
        <v>1520</v>
      </c>
      <c r="N2182" s="76">
        <v>30</v>
      </c>
      <c r="O2182" s="76">
        <v>30</v>
      </c>
      <c r="P2182" s="78">
        <v>0</v>
      </c>
    </row>
    <row r="2183" spans="7:16" x14ac:dyDescent="0.3">
      <c r="G2183" t="s">
        <v>3921</v>
      </c>
      <c r="H2183" s="76" t="s">
        <v>675</v>
      </c>
      <c r="I2183" s="76" t="s">
        <v>676</v>
      </c>
      <c r="J2183" s="76" t="s">
        <v>384</v>
      </c>
      <c r="K2183" s="76" t="s">
        <v>2007</v>
      </c>
      <c r="L2183" s="76" t="s">
        <v>379</v>
      </c>
      <c r="M2183" s="76" t="s">
        <v>1268</v>
      </c>
      <c r="N2183" s="76">
        <v>150</v>
      </c>
      <c r="O2183" s="76">
        <v>140</v>
      </c>
      <c r="P2183" s="78">
        <v>6.6699999999999995E-2</v>
      </c>
    </row>
    <row r="2184" spans="7:16" x14ac:dyDescent="0.3">
      <c r="G2184" t="s">
        <v>3922</v>
      </c>
      <c r="H2184" s="76" t="s">
        <v>638</v>
      </c>
      <c r="I2184" s="76" t="s">
        <v>639</v>
      </c>
      <c r="J2184" s="76" t="s">
        <v>360</v>
      </c>
      <c r="K2184" s="76" t="s">
        <v>2267</v>
      </c>
      <c r="L2184" s="76" t="s">
        <v>361</v>
      </c>
      <c r="M2184" s="76" t="s">
        <v>1008</v>
      </c>
      <c r="N2184" s="76">
        <v>80</v>
      </c>
      <c r="O2184" s="76">
        <v>66</v>
      </c>
      <c r="P2184" s="78">
        <v>0.17499999999999999</v>
      </c>
    </row>
    <row r="2185" spans="7:16" x14ac:dyDescent="0.3">
      <c r="G2185" t="s">
        <v>3923</v>
      </c>
      <c r="H2185" s="76" t="s">
        <v>747</v>
      </c>
      <c r="I2185" s="76" t="s">
        <v>748</v>
      </c>
      <c r="J2185" s="76" t="s">
        <v>360</v>
      </c>
      <c r="K2185" s="76" t="s">
        <v>1993</v>
      </c>
      <c r="L2185" s="76" t="s">
        <v>396</v>
      </c>
      <c r="M2185" s="76" t="s">
        <v>1100</v>
      </c>
      <c r="N2185" s="76">
        <v>500</v>
      </c>
      <c r="O2185" s="76">
        <v>475</v>
      </c>
      <c r="P2185" s="78">
        <v>0.05</v>
      </c>
    </row>
    <row r="2186" spans="7:16" x14ac:dyDescent="0.3">
      <c r="G2186" t="s">
        <v>3924</v>
      </c>
      <c r="H2186" s="76" t="s">
        <v>394</v>
      </c>
      <c r="I2186" s="76" t="s">
        <v>395</v>
      </c>
      <c r="J2186" s="76" t="s">
        <v>372</v>
      </c>
      <c r="K2186" s="76" t="s">
        <v>3107</v>
      </c>
      <c r="L2186" s="76" t="s">
        <v>396</v>
      </c>
      <c r="M2186" s="76" t="s">
        <v>1787</v>
      </c>
      <c r="N2186" s="76">
        <v>500</v>
      </c>
      <c r="O2186" s="76">
        <v>485</v>
      </c>
      <c r="P2186" s="78">
        <v>0.03</v>
      </c>
    </row>
    <row r="2187" spans="7:16" x14ac:dyDescent="0.3">
      <c r="G2187" t="s">
        <v>3925</v>
      </c>
      <c r="H2187" s="76" t="s">
        <v>399</v>
      </c>
      <c r="I2187" s="76" t="s">
        <v>400</v>
      </c>
      <c r="J2187" s="76" t="s">
        <v>372</v>
      </c>
      <c r="K2187" s="77">
        <v>42103</v>
      </c>
      <c r="L2187" s="76" t="s">
        <v>373</v>
      </c>
      <c r="M2187" s="76" t="s">
        <v>3312</v>
      </c>
      <c r="N2187" s="76">
        <v>700</v>
      </c>
      <c r="O2187" s="76">
        <v>581</v>
      </c>
      <c r="P2187" s="78">
        <v>0.17</v>
      </c>
    </row>
    <row r="2188" spans="7:16" x14ac:dyDescent="0.3">
      <c r="G2188" t="s">
        <v>3926</v>
      </c>
      <c r="H2188" s="76" t="s">
        <v>409</v>
      </c>
      <c r="I2188" s="76" t="s">
        <v>410</v>
      </c>
      <c r="J2188" s="76" t="s">
        <v>360</v>
      </c>
      <c r="K2188" s="76" t="s">
        <v>521</v>
      </c>
      <c r="L2188" s="76" t="s">
        <v>361</v>
      </c>
      <c r="M2188" s="76" t="s">
        <v>2666</v>
      </c>
      <c r="N2188" s="76">
        <v>80</v>
      </c>
      <c r="O2188" s="76">
        <v>74</v>
      </c>
      <c r="P2188" s="78">
        <v>7.4999999999999997E-2</v>
      </c>
    </row>
    <row r="2189" spans="7:16" x14ac:dyDescent="0.3">
      <c r="G2189" t="s">
        <v>3927</v>
      </c>
      <c r="H2189" s="76" t="s">
        <v>619</v>
      </c>
      <c r="I2189" s="76" t="s">
        <v>620</v>
      </c>
      <c r="J2189" s="76" t="s">
        <v>372</v>
      </c>
      <c r="K2189" s="77">
        <v>43435</v>
      </c>
      <c r="L2189" s="76" t="s">
        <v>424</v>
      </c>
      <c r="M2189" s="76" t="s">
        <v>1142</v>
      </c>
      <c r="N2189" s="76">
        <v>500</v>
      </c>
      <c r="O2189" s="76">
        <v>490</v>
      </c>
      <c r="P2189" s="78">
        <v>0.02</v>
      </c>
    </row>
    <row r="2190" spans="7:16" x14ac:dyDescent="0.3">
      <c r="G2190" t="s">
        <v>3928</v>
      </c>
      <c r="H2190" s="76" t="s">
        <v>459</v>
      </c>
      <c r="I2190" s="76" t="s">
        <v>422</v>
      </c>
      <c r="J2190" s="76" t="s">
        <v>384</v>
      </c>
      <c r="K2190" s="77">
        <v>42652</v>
      </c>
      <c r="L2190" s="76" t="s">
        <v>475</v>
      </c>
      <c r="M2190" s="76" t="s">
        <v>462</v>
      </c>
      <c r="N2190" s="76">
        <v>250</v>
      </c>
      <c r="O2190" s="76">
        <v>240</v>
      </c>
      <c r="P2190" s="78">
        <v>0.04</v>
      </c>
    </row>
    <row r="2191" spans="7:16" x14ac:dyDescent="0.3">
      <c r="G2191" t="s">
        <v>3929</v>
      </c>
      <c r="H2191" s="76" t="s">
        <v>394</v>
      </c>
      <c r="I2191" s="76" t="s">
        <v>395</v>
      </c>
      <c r="J2191" s="76" t="s">
        <v>372</v>
      </c>
      <c r="K2191" s="76" t="s">
        <v>2177</v>
      </c>
      <c r="L2191" s="76" t="s">
        <v>405</v>
      </c>
      <c r="M2191" s="76" t="s">
        <v>1881</v>
      </c>
      <c r="N2191" s="76">
        <v>800</v>
      </c>
      <c r="O2191" s="76">
        <v>744</v>
      </c>
      <c r="P2191" s="78">
        <v>7.0000000000000007E-2</v>
      </c>
    </row>
    <row r="2192" spans="7:16" x14ac:dyDescent="0.3">
      <c r="G2192" t="s">
        <v>3930</v>
      </c>
      <c r="H2192" s="76" t="s">
        <v>399</v>
      </c>
      <c r="I2192" s="76" t="s">
        <v>400</v>
      </c>
      <c r="J2192" s="76" t="s">
        <v>372</v>
      </c>
      <c r="K2192" s="76" t="s">
        <v>1670</v>
      </c>
      <c r="L2192" s="76" t="s">
        <v>424</v>
      </c>
      <c r="M2192" s="76" t="s">
        <v>1650</v>
      </c>
      <c r="N2192" s="76">
        <v>500</v>
      </c>
      <c r="O2192" s="76">
        <v>490</v>
      </c>
      <c r="P2192" s="78">
        <v>0.02</v>
      </c>
    </row>
    <row r="2193" spans="7:16" x14ac:dyDescent="0.3">
      <c r="G2193" t="s">
        <v>3931</v>
      </c>
      <c r="H2193" s="76" t="s">
        <v>638</v>
      </c>
      <c r="I2193" s="76" t="s">
        <v>639</v>
      </c>
      <c r="J2193" s="76" t="s">
        <v>360</v>
      </c>
      <c r="K2193" s="77">
        <v>42926</v>
      </c>
      <c r="L2193" s="76" t="s">
        <v>424</v>
      </c>
      <c r="M2193" s="76" t="s">
        <v>698</v>
      </c>
      <c r="N2193" s="76">
        <v>500</v>
      </c>
      <c r="O2193" s="76">
        <v>495</v>
      </c>
      <c r="P2193" s="78">
        <v>0.01</v>
      </c>
    </row>
    <row r="2194" spans="7:16" x14ac:dyDescent="0.3">
      <c r="G2194" t="s">
        <v>3932</v>
      </c>
      <c r="H2194" s="76" t="s">
        <v>494</v>
      </c>
      <c r="I2194" s="76" t="s">
        <v>465</v>
      </c>
      <c r="J2194" s="76" t="s">
        <v>366</v>
      </c>
      <c r="K2194" s="76" t="s">
        <v>2782</v>
      </c>
      <c r="L2194" s="76" t="s">
        <v>424</v>
      </c>
      <c r="M2194" s="76" t="s">
        <v>1041</v>
      </c>
      <c r="N2194" s="76">
        <v>500</v>
      </c>
      <c r="O2194" s="76">
        <v>500</v>
      </c>
      <c r="P2194" s="78">
        <v>0</v>
      </c>
    </row>
    <row r="2195" spans="7:16" x14ac:dyDescent="0.3">
      <c r="G2195" t="s">
        <v>3933</v>
      </c>
      <c r="H2195" s="76" t="s">
        <v>547</v>
      </c>
      <c r="I2195" s="76" t="s">
        <v>548</v>
      </c>
      <c r="J2195" s="76" t="s">
        <v>360</v>
      </c>
      <c r="K2195" s="76" t="s">
        <v>1382</v>
      </c>
      <c r="L2195" s="76" t="s">
        <v>379</v>
      </c>
      <c r="M2195" s="76" t="s">
        <v>898</v>
      </c>
      <c r="N2195" s="76">
        <v>150</v>
      </c>
      <c r="O2195" s="76">
        <v>138</v>
      </c>
      <c r="P2195" s="78">
        <v>0.08</v>
      </c>
    </row>
    <row r="2196" spans="7:16" x14ac:dyDescent="0.3">
      <c r="G2196" t="s">
        <v>3934</v>
      </c>
      <c r="H2196" s="76" t="s">
        <v>394</v>
      </c>
      <c r="I2196" s="76" t="s">
        <v>395</v>
      </c>
      <c r="J2196" s="76" t="s">
        <v>372</v>
      </c>
      <c r="K2196" s="76" t="s">
        <v>3935</v>
      </c>
      <c r="L2196" s="76" t="s">
        <v>424</v>
      </c>
      <c r="M2196" s="76" t="s">
        <v>1695</v>
      </c>
      <c r="N2196" s="76">
        <v>500</v>
      </c>
      <c r="O2196" s="76">
        <v>490</v>
      </c>
      <c r="P2196" s="78">
        <v>0.02</v>
      </c>
    </row>
    <row r="2197" spans="7:16" x14ac:dyDescent="0.3">
      <c r="G2197" t="s">
        <v>3936</v>
      </c>
      <c r="H2197" s="76" t="s">
        <v>429</v>
      </c>
      <c r="I2197" s="76" t="s">
        <v>430</v>
      </c>
      <c r="J2197" s="76" t="s">
        <v>384</v>
      </c>
      <c r="K2197" s="77">
        <v>43012</v>
      </c>
      <c r="L2197" s="76" t="s">
        <v>373</v>
      </c>
      <c r="M2197" s="76" t="s">
        <v>838</v>
      </c>
      <c r="N2197" s="76">
        <v>700</v>
      </c>
      <c r="O2197" s="76">
        <v>658</v>
      </c>
      <c r="P2197" s="78">
        <v>0.06</v>
      </c>
    </row>
    <row r="2198" spans="7:16" x14ac:dyDescent="0.3">
      <c r="G2198" t="s">
        <v>3937</v>
      </c>
      <c r="H2198" s="76" t="s">
        <v>747</v>
      </c>
      <c r="I2198" s="76" t="s">
        <v>748</v>
      </c>
      <c r="J2198" s="76" t="s">
        <v>360</v>
      </c>
      <c r="K2198" s="76" t="s">
        <v>1087</v>
      </c>
      <c r="L2198" s="76" t="s">
        <v>411</v>
      </c>
      <c r="M2198" s="76" t="s">
        <v>1542</v>
      </c>
      <c r="N2198" s="76">
        <v>1000</v>
      </c>
      <c r="O2198" s="76">
        <v>800</v>
      </c>
      <c r="P2198" s="78">
        <v>0.2</v>
      </c>
    </row>
    <row r="2199" spans="7:16" x14ac:dyDescent="0.3">
      <c r="G2199" t="s">
        <v>3938</v>
      </c>
      <c r="H2199" s="76" t="s">
        <v>611</v>
      </c>
      <c r="I2199" s="76" t="s">
        <v>389</v>
      </c>
      <c r="J2199" s="76" t="s">
        <v>384</v>
      </c>
      <c r="K2199" s="76" t="s">
        <v>2164</v>
      </c>
      <c r="L2199" s="76" t="s">
        <v>396</v>
      </c>
      <c r="M2199" s="76" t="s">
        <v>2079</v>
      </c>
      <c r="N2199" s="76">
        <v>500</v>
      </c>
      <c r="O2199" s="76">
        <v>485</v>
      </c>
      <c r="P2199" s="78">
        <v>0.03</v>
      </c>
    </row>
    <row r="2200" spans="7:16" x14ac:dyDescent="0.3">
      <c r="G2200" t="s">
        <v>3939</v>
      </c>
      <c r="H2200" s="76" t="s">
        <v>438</v>
      </c>
      <c r="I2200" s="76" t="s">
        <v>439</v>
      </c>
      <c r="J2200" s="76" t="s">
        <v>360</v>
      </c>
      <c r="K2200" s="77">
        <v>42401</v>
      </c>
      <c r="L2200" s="76" t="s">
        <v>396</v>
      </c>
      <c r="M2200" s="76" t="s">
        <v>440</v>
      </c>
      <c r="N2200" s="76">
        <v>500</v>
      </c>
      <c r="O2200" s="76">
        <v>445</v>
      </c>
      <c r="P2200" s="78">
        <v>0.11</v>
      </c>
    </row>
    <row r="2201" spans="7:16" x14ac:dyDescent="0.3">
      <c r="G2201" t="s">
        <v>3940</v>
      </c>
      <c r="H2201" s="76" t="s">
        <v>444</v>
      </c>
      <c r="I2201" s="76" t="s">
        <v>445</v>
      </c>
      <c r="J2201" s="76" t="s">
        <v>384</v>
      </c>
      <c r="K2201" s="77">
        <v>42217</v>
      </c>
      <c r="L2201" s="76" t="s">
        <v>461</v>
      </c>
      <c r="M2201" s="76" t="s">
        <v>2329</v>
      </c>
      <c r="N2201" s="76">
        <v>70</v>
      </c>
      <c r="O2201" s="76">
        <v>59</v>
      </c>
      <c r="P2201" s="78">
        <v>0.15709999999999999</v>
      </c>
    </row>
    <row r="2202" spans="7:16" x14ac:dyDescent="0.3">
      <c r="G2202" t="s">
        <v>3941</v>
      </c>
      <c r="H2202" s="76" t="s">
        <v>528</v>
      </c>
      <c r="I2202" s="76" t="s">
        <v>465</v>
      </c>
      <c r="J2202" s="76" t="s">
        <v>366</v>
      </c>
      <c r="K2202" s="77">
        <v>41824</v>
      </c>
      <c r="L2202" s="76" t="s">
        <v>379</v>
      </c>
      <c r="M2202" s="76" t="s">
        <v>1623</v>
      </c>
      <c r="N2202" s="76">
        <v>150</v>
      </c>
      <c r="O2202" s="76">
        <v>122</v>
      </c>
      <c r="P2202" s="78">
        <v>0.1867</v>
      </c>
    </row>
    <row r="2203" spans="7:16" x14ac:dyDescent="0.3">
      <c r="G2203" t="s">
        <v>3942</v>
      </c>
      <c r="H2203" s="76" t="s">
        <v>551</v>
      </c>
      <c r="I2203" s="76" t="s">
        <v>552</v>
      </c>
      <c r="J2203" s="76" t="s">
        <v>360</v>
      </c>
      <c r="K2203" s="76" t="s">
        <v>1588</v>
      </c>
      <c r="L2203" s="76" t="s">
        <v>373</v>
      </c>
      <c r="M2203" s="76" t="s">
        <v>2255</v>
      </c>
      <c r="N2203" s="76">
        <v>700</v>
      </c>
      <c r="O2203" s="76">
        <v>658</v>
      </c>
      <c r="P2203" s="78">
        <v>0.06</v>
      </c>
    </row>
    <row r="2204" spans="7:16" x14ac:dyDescent="0.3">
      <c r="G2204" t="s">
        <v>3943</v>
      </c>
      <c r="H2204" s="76" t="s">
        <v>358</v>
      </c>
      <c r="I2204" s="76" t="s">
        <v>359</v>
      </c>
      <c r="J2204" s="76" t="s">
        <v>360</v>
      </c>
      <c r="K2204" s="76" t="s">
        <v>3910</v>
      </c>
      <c r="L2204" s="76" t="s">
        <v>396</v>
      </c>
      <c r="M2204" s="76" t="s">
        <v>501</v>
      </c>
      <c r="N2204" s="76">
        <v>500</v>
      </c>
      <c r="O2204" s="76">
        <v>480</v>
      </c>
      <c r="P2204" s="78">
        <v>0.04</v>
      </c>
    </row>
    <row r="2205" spans="7:16" x14ac:dyDescent="0.3">
      <c r="G2205" t="s">
        <v>3944</v>
      </c>
      <c r="H2205" s="76" t="s">
        <v>489</v>
      </c>
      <c r="I2205" s="76" t="s">
        <v>490</v>
      </c>
      <c r="J2205" s="76" t="s">
        <v>360</v>
      </c>
      <c r="K2205" s="76" t="s">
        <v>3945</v>
      </c>
      <c r="L2205" s="76" t="s">
        <v>391</v>
      </c>
      <c r="M2205" s="76" t="s">
        <v>824</v>
      </c>
      <c r="N2205" s="76">
        <v>30</v>
      </c>
      <c r="O2205" s="76">
        <v>27</v>
      </c>
      <c r="P2205" s="78">
        <v>0.1</v>
      </c>
    </row>
    <row r="2206" spans="7:16" x14ac:dyDescent="0.3">
      <c r="G2206" t="s">
        <v>3946</v>
      </c>
      <c r="H2206" s="76" t="s">
        <v>845</v>
      </c>
      <c r="I2206" s="76" t="s">
        <v>846</v>
      </c>
      <c r="J2206" s="76" t="s">
        <v>360</v>
      </c>
      <c r="K2206" s="77">
        <v>43077</v>
      </c>
      <c r="L2206" s="76" t="s">
        <v>405</v>
      </c>
      <c r="M2206" s="76" t="s">
        <v>848</v>
      </c>
      <c r="N2206" s="76">
        <v>800</v>
      </c>
      <c r="O2206" s="76">
        <v>592</v>
      </c>
      <c r="P2206" s="78">
        <v>0.26</v>
      </c>
    </row>
    <row r="2207" spans="7:16" x14ac:dyDescent="0.3">
      <c r="G2207" t="s">
        <v>3947</v>
      </c>
      <c r="H2207" s="76" t="s">
        <v>370</v>
      </c>
      <c r="I2207" s="76" t="s">
        <v>371</v>
      </c>
      <c r="J2207" s="76" t="s">
        <v>372</v>
      </c>
      <c r="K2207" s="77">
        <v>42980</v>
      </c>
      <c r="L2207" s="76" t="s">
        <v>405</v>
      </c>
      <c r="M2207" s="76" t="s">
        <v>2424</v>
      </c>
      <c r="N2207" s="76">
        <v>800</v>
      </c>
      <c r="O2207" s="76">
        <v>680</v>
      </c>
      <c r="P2207" s="78">
        <v>0.15</v>
      </c>
    </row>
    <row r="2208" spans="7:16" x14ac:dyDescent="0.3">
      <c r="G2208" t="s">
        <v>3948</v>
      </c>
      <c r="H2208" s="76" t="s">
        <v>891</v>
      </c>
      <c r="I2208" s="76" t="s">
        <v>892</v>
      </c>
      <c r="J2208" s="76" t="s">
        <v>372</v>
      </c>
      <c r="K2208" s="77">
        <v>42705</v>
      </c>
      <c r="L2208" s="76" t="s">
        <v>373</v>
      </c>
      <c r="M2208" s="76" t="s">
        <v>1096</v>
      </c>
      <c r="N2208" s="76">
        <v>700</v>
      </c>
      <c r="O2208" s="76">
        <v>693</v>
      </c>
      <c r="P2208" s="78">
        <v>0.01</v>
      </c>
    </row>
    <row r="2209" spans="7:16" x14ac:dyDescent="0.3">
      <c r="G2209" t="s">
        <v>3949</v>
      </c>
      <c r="H2209" s="76" t="s">
        <v>485</v>
      </c>
      <c r="I2209" s="76" t="s">
        <v>389</v>
      </c>
      <c r="J2209" s="76" t="s">
        <v>384</v>
      </c>
      <c r="K2209" s="76" t="s">
        <v>3950</v>
      </c>
      <c r="L2209" s="76" t="s">
        <v>379</v>
      </c>
      <c r="M2209" s="76" t="s">
        <v>1467</v>
      </c>
      <c r="N2209" s="76">
        <v>150</v>
      </c>
      <c r="O2209" s="76">
        <v>141</v>
      </c>
      <c r="P2209" s="78">
        <v>0.06</v>
      </c>
    </row>
    <row r="2210" spans="7:16" x14ac:dyDescent="0.3">
      <c r="G2210" t="s">
        <v>3951</v>
      </c>
      <c r="H2210" s="76" t="s">
        <v>591</v>
      </c>
      <c r="I2210" s="76" t="s">
        <v>592</v>
      </c>
      <c r="J2210" s="76" t="s">
        <v>372</v>
      </c>
      <c r="K2210" s="76" t="s">
        <v>3952</v>
      </c>
      <c r="L2210" s="76" t="s">
        <v>396</v>
      </c>
      <c r="M2210" s="76" t="s">
        <v>1277</v>
      </c>
      <c r="N2210" s="76">
        <v>500</v>
      </c>
      <c r="O2210" s="76">
        <v>470</v>
      </c>
      <c r="P2210" s="78">
        <v>0.06</v>
      </c>
    </row>
    <row r="2211" spans="7:16" x14ac:dyDescent="0.3">
      <c r="G2211" t="s">
        <v>3953</v>
      </c>
      <c r="H2211" s="76" t="s">
        <v>560</v>
      </c>
      <c r="I2211" s="76" t="s">
        <v>465</v>
      </c>
      <c r="J2211" s="76" t="s">
        <v>366</v>
      </c>
      <c r="K2211" s="77">
        <v>43319</v>
      </c>
      <c r="L2211" s="76" t="s">
        <v>424</v>
      </c>
      <c r="M2211" s="76" t="s">
        <v>589</v>
      </c>
      <c r="N2211" s="76">
        <v>500</v>
      </c>
      <c r="O2211" s="76">
        <v>495</v>
      </c>
      <c r="P2211" s="78">
        <v>0.01</v>
      </c>
    </row>
    <row r="2212" spans="7:16" x14ac:dyDescent="0.3">
      <c r="G2212" t="s">
        <v>3954</v>
      </c>
      <c r="H2212" s="76" t="s">
        <v>560</v>
      </c>
      <c r="I2212" s="76" t="s">
        <v>465</v>
      </c>
      <c r="J2212" s="76" t="s">
        <v>366</v>
      </c>
      <c r="K2212" s="77">
        <v>42497</v>
      </c>
      <c r="L2212" s="76" t="s">
        <v>475</v>
      </c>
      <c r="M2212" s="76" t="s">
        <v>1994</v>
      </c>
      <c r="N2212" s="76">
        <v>250</v>
      </c>
      <c r="O2212" s="76">
        <v>248</v>
      </c>
      <c r="P2212" s="78">
        <v>8.0000000000000002E-3</v>
      </c>
    </row>
    <row r="2213" spans="7:16" x14ac:dyDescent="0.3">
      <c r="G2213" t="s">
        <v>3955</v>
      </c>
      <c r="H2213" s="76" t="s">
        <v>434</v>
      </c>
      <c r="I2213" s="76" t="s">
        <v>435</v>
      </c>
      <c r="J2213" s="76" t="s">
        <v>360</v>
      </c>
      <c r="K2213" s="76" t="s">
        <v>2150</v>
      </c>
      <c r="L2213" s="76" t="s">
        <v>361</v>
      </c>
      <c r="M2213" s="76" t="s">
        <v>827</v>
      </c>
      <c r="N2213" s="76">
        <v>80</v>
      </c>
      <c r="O2213" s="76">
        <v>76</v>
      </c>
      <c r="P2213" s="78">
        <v>0.05</v>
      </c>
    </row>
    <row r="2214" spans="7:16" x14ac:dyDescent="0.3">
      <c r="G2214" t="s">
        <v>3956</v>
      </c>
      <c r="H2214" s="76" t="s">
        <v>497</v>
      </c>
      <c r="I2214" s="76" t="s">
        <v>445</v>
      </c>
      <c r="J2214" s="76" t="s">
        <v>384</v>
      </c>
      <c r="K2214" s="77">
        <v>42252</v>
      </c>
      <c r="L2214" s="76" t="s">
        <v>483</v>
      </c>
      <c r="M2214" s="76" t="s">
        <v>1819</v>
      </c>
      <c r="N2214" s="76">
        <v>50</v>
      </c>
      <c r="O2214" s="76">
        <v>33</v>
      </c>
      <c r="P2214" s="78">
        <v>0.34</v>
      </c>
    </row>
    <row r="2215" spans="7:16" x14ac:dyDescent="0.3">
      <c r="G2215" t="s">
        <v>3957</v>
      </c>
      <c r="H2215" s="76" t="s">
        <v>394</v>
      </c>
      <c r="I2215" s="76" t="s">
        <v>395</v>
      </c>
      <c r="J2215" s="76" t="s">
        <v>372</v>
      </c>
      <c r="K2215" s="76" t="s">
        <v>3043</v>
      </c>
      <c r="L2215" s="76" t="s">
        <v>396</v>
      </c>
      <c r="M2215" s="76" t="s">
        <v>1787</v>
      </c>
      <c r="N2215" s="76">
        <v>500</v>
      </c>
      <c r="O2215" s="76">
        <v>475</v>
      </c>
      <c r="P2215" s="78">
        <v>0.05</v>
      </c>
    </row>
    <row r="2216" spans="7:16" x14ac:dyDescent="0.3">
      <c r="G2216" t="s">
        <v>3958</v>
      </c>
      <c r="H2216" s="76" t="s">
        <v>478</v>
      </c>
      <c r="I2216" s="76" t="s">
        <v>479</v>
      </c>
      <c r="J2216" s="76" t="s">
        <v>384</v>
      </c>
      <c r="K2216" s="77">
        <v>43226</v>
      </c>
      <c r="L2216" s="76" t="s">
        <v>373</v>
      </c>
      <c r="M2216" s="76" t="s">
        <v>1448</v>
      </c>
      <c r="N2216" s="76">
        <v>700</v>
      </c>
      <c r="O2216" s="76">
        <v>686</v>
      </c>
      <c r="P2216" s="78">
        <v>0.02</v>
      </c>
    </row>
    <row r="2217" spans="7:16" x14ac:dyDescent="0.3">
      <c r="G2217" t="s">
        <v>3959</v>
      </c>
      <c r="H2217" s="76" t="s">
        <v>403</v>
      </c>
      <c r="I2217" s="76" t="s">
        <v>404</v>
      </c>
      <c r="J2217" s="76" t="s">
        <v>360</v>
      </c>
      <c r="K2217" s="77">
        <v>41976</v>
      </c>
      <c r="L2217" s="76" t="s">
        <v>411</v>
      </c>
      <c r="M2217" s="76" t="s">
        <v>1375</v>
      </c>
      <c r="N2217" s="76">
        <v>1000</v>
      </c>
      <c r="O2217" s="76">
        <v>780</v>
      </c>
      <c r="P2217" s="78">
        <v>0.22</v>
      </c>
    </row>
    <row r="2218" spans="7:16" x14ac:dyDescent="0.3">
      <c r="G2218" t="s">
        <v>3960</v>
      </c>
      <c r="H2218" s="76" t="s">
        <v>3165</v>
      </c>
      <c r="I2218" s="76" t="s">
        <v>365</v>
      </c>
      <c r="J2218" s="76" t="s">
        <v>366</v>
      </c>
      <c r="K2218" s="76" t="s">
        <v>1388</v>
      </c>
      <c r="L2218" s="76" t="s">
        <v>411</v>
      </c>
      <c r="M2218" s="76" t="s">
        <v>3511</v>
      </c>
      <c r="N2218" s="76">
        <v>1000</v>
      </c>
      <c r="O2218" s="76">
        <v>510</v>
      </c>
      <c r="P2218" s="78">
        <v>0.49</v>
      </c>
    </row>
    <row r="2219" spans="7:16" x14ac:dyDescent="0.3">
      <c r="G2219" t="s">
        <v>3961</v>
      </c>
      <c r="H2219" s="76" t="s">
        <v>494</v>
      </c>
      <c r="I2219" s="76" t="s">
        <v>465</v>
      </c>
      <c r="J2219" s="76" t="s">
        <v>366</v>
      </c>
      <c r="K2219" s="76" t="s">
        <v>1518</v>
      </c>
      <c r="L2219" s="76" t="s">
        <v>483</v>
      </c>
      <c r="M2219" s="76" t="s">
        <v>1373</v>
      </c>
      <c r="N2219" s="76">
        <v>50</v>
      </c>
      <c r="O2219" s="76">
        <v>49</v>
      </c>
      <c r="P2219" s="78">
        <v>0.02</v>
      </c>
    </row>
    <row r="2220" spans="7:16" x14ac:dyDescent="0.3">
      <c r="G2220" t="s">
        <v>3962</v>
      </c>
      <c r="H2220" s="76" t="s">
        <v>485</v>
      </c>
      <c r="I2220" s="76" t="s">
        <v>389</v>
      </c>
      <c r="J2220" s="76" t="s">
        <v>384</v>
      </c>
      <c r="K2220" s="76" t="s">
        <v>3963</v>
      </c>
      <c r="L2220" s="76" t="s">
        <v>405</v>
      </c>
      <c r="M2220" s="76" t="s">
        <v>1082</v>
      </c>
      <c r="N2220" s="76">
        <v>800</v>
      </c>
      <c r="O2220" s="76">
        <v>512</v>
      </c>
      <c r="P2220" s="78">
        <v>0.36</v>
      </c>
    </row>
    <row r="2221" spans="7:16" x14ac:dyDescent="0.3">
      <c r="G2221" t="s">
        <v>3964</v>
      </c>
      <c r="H2221" s="76" t="s">
        <v>591</v>
      </c>
      <c r="I2221" s="76" t="s">
        <v>592</v>
      </c>
      <c r="J2221" s="76" t="s">
        <v>372</v>
      </c>
      <c r="K2221" s="77">
        <v>42043</v>
      </c>
      <c r="L2221" s="76" t="s">
        <v>405</v>
      </c>
      <c r="M2221" s="76" t="s">
        <v>2791</v>
      </c>
      <c r="N2221" s="76">
        <v>800</v>
      </c>
      <c r="O2221" s="76">
        <v>656</v>
      </c>
      <c r="P2221" s="78">
        <v>0.18</v>
      </c>
    </row>
    <row r="2222" spans="7:16" x14ac:dyDescent="0.3">
      <c r="G2222" t="s">
        <v>3965</v>
      </c>
      <c r="H2222" s="76" t="s">
        <v>591</v>
      </c>
      <c r="I2222" s="76" t="s">
        <v>592</v>
      </c>
      <c r="J2222" s="76" t="s">
        <v>372</v>
      </c>
      <c r="K2222" s="76" t="s">
        <v>3222</v>
      </c>
      <c r="L2222" s="76" t="s">
        <v>361</v>
      </c>
      <c r="M2222" s="76" t="s">
        <v>1197</v>
      </c>
      <c r="N2222" s="76">
        <v>80</v>
      </c>
      <c r="O2222" s="76">
        <v>72</v>
      </c>
      <c r="P2222" s="78">
        <v>0.1</v>
      </c>
    </row>
    <row r="2223" spans="7:16" x14ac:dyDescent="0.3">
      <c r="G2223" t="s">
        <v>3966</v>
      </c>
      <c r="H2223" s="76" t="s">
        <v>459</v>
      </c>
      <c r="I2223" s="76" t="s">
        <v>422</v>
      </c>
      <c r="J2223" s="76" t="s">
        <v>384</v>
      </c>
      <c r="K2223" s="76" t="s">
        <v>3967</v>
      </c>
      <c r="L2223" s="76" t="s">
        <v>424</v>
      </c>
      <c r="M2223" s="76" t="s">
        <v>462</v>
      </c>
      <c r="N2223" s="76">
        <v>500</v>
      </c>
      <c r="O2223" s="76">
        <v>500</v>
      </c>
      <c r="P2223" s="78">
        <v>0</v>
      </c>
    </row>
    <row r="2224" spans="7:16" x14ac:dyDescent="0.3">
      <c r="G2224" t="s">
        <v>3968</v>
      </c>
      <c r="H2224" s="76" t="s">
        <v>459</v>
      </c>
      <c r="I2224" s="76" t="s">
        <v>422</v>
      </c>
      <c r="J2224" s="76" t="s">
        <v>384</v>
      </c>
      <c r="K2224" s="77">
        <v>41950</v>
      </c>
      <c r="L2224" s="76" t="s">
        <v>405</v>
      </c>
      <c r="M2224" s="76" t="s">
        <v>1106</v>
      </c>
      <c r="N2224" s="76">
        <v>800</v>
      </c>
      <c r="O2224" s="76">
        <v>472</v>
      </c>
      <c r="P2224" s="78">
        <v>0.41</v>
      </c>
    </row>
    <row r="2225" spans="7:16" x14ac:dyDescent="0.3">
      <c r="G2225" t="s">
        <v>3969</v>
      </c>
      <c r="H2225" s="76" t="s">
        <v>421</v>
      </c>
      <c r="I2225" s="76" t="s">
        <v>422</v>
      </c>
      <c r="J2225" s="76" t="s">
        <v>384</v>
      </c>
      <c r="K2225" s="76" t="s">
        <v>2103</v>
      </c>
      <c r="L2225" s="76" t="s">
        <v>361</v>
      </c>
      <c r="M2225" s="76" t="s">
        <v>833</v>
      </c>
      <c r="N2225" s="76">
        <v>80</v>
      </c>
      <c r="O2225" s="76">
        <v>80</v>
      </c>
      <c r="P2225" s="78">
        <v>0</v>
      </c>
    </row>
    <row r="2226" spans="7:16" x14ac:dyDescent="0.3">
      <c r="G2226" t="s">
        <v>3970</v>
      </c>
      <c r="H2226" s="76" t="s">
        <v>566</v>
      </c>
      <c r="I2226" s="76" t="s">
        <v>567</v>
      </c>
      <c r="J2226" s="76" t="s">
        <v>360</v>
      </c>
      <c r="K2226" s="76" t="s">
        <v>3971</v>
      </c>
      <c r="L2226" s="76" t="s">
        <v>461</v>
      </c>
      <c r="M2226" s="76" t="s">
        <v>1849</v>
      </c>
      <c r="N2226" s="76">
        <v>70</v>
      </c>
      <c r="O2226" s="76">
        <v>64</v>
      </c>
      <c r="P2226" s="78">
        <v>8.5699999999999998E-2</v>
      </c>
    </row>
    <row r="2227" spans="7:16" x14ac:dyDescent="0.3">
      <c r="G2227" t="s">
        <v>3972</v>
      </c>
      <c r="H2227" s="76" t="s">
        <v>560</v>
      </c>
      <c r="I2227" s="76" t="s">
        <v>465</v>
      </c>
      <c r="J2227" s="76" t="s">
        <v>366</v>
      </c>
      <c r="K2227" s="77">
        <v>41917</v>
      </c>
      <c r="L2227" s="76" t="s">
        <v>379</v>
      </c>
      <c r="M2227" s="76" t="s">
        <v>2973</v>
      </c>
      <c r="N2227" s="76">
        <v>150</v>
      </c>
      <c r="O2227" s="76">
        <v>114</v>
      </c>
      <c r="P2227" s="78">
        <v>0.24</v>
      </c>
    </row>
    <row r="2228" spans="7:16" x14ac:dyDescent="0.3">
      <c r="G2228" t="s">
        <v>3973</v>
      </c>
      <c r="H2228" s="76" t="s">
        <v>376</v>
      </c>
      <c r="I2228" s="76" t="s">
        <v>377</v>
      </c>
      <c r="J2228" s="76" t="s">
        <v>360</v>
      </c>
      <c r="K2228" s="77">
        <v>42888</v>
      </c>
      <c r="L2228" s="76" t="s">
        <v>361</v>
      </c>
      <c r="M2228" s="76" t="s">
        <v>3974</v>
      </c>
      <c r="N2228" s="76">
        <v>80</v>
      </c>
      <c r="O2228" s="76">
        <v>73</v>
      </c>
      <c r="P2228" s="78">
        <v>8.7499999999999994E-2</v>
      </c>
    </row>
    <row r="2229" spans="7:16" x14ac:dyDescent="0.3">
      <c r="G2229" t="s">
        <v>3975</v>
      </c>
      <c r="H2229" s="76" t="s">
        <v>489</v>
      </c>
      <c r="I2229" s="76" t="s">
        <v>490</v>
      </c>
      <c r="J2229" s="76" t="s">
        <v>360</v>
      </c>
      <c r="K2229" s="76" t="s">
        <v>2484</v>
      </c>
      <c r="L2229" s="76" t="s">
        <v>483</v>
      </c>
      <c r="M2229" s="76" t="s">
        <v>597</v>
      </c>
      <c r="N2229" s="76">
        <v>50</v>
      </c>
      <c r="O2229" s="76">
        <v>47</v>
      </c>
      <c r="P2229" s="78">
        <v>0.06</v>
      </c>
    </row>
    <row r="2230" spans="7:16" x14ac:dyDescent="0.3">
      <c r="G2230" t="s">
        <v>3976</v>
      </c>
      <c r="H2230" s="76" t="s">
        <v>615</v>
      </c>
      <c r="I2230" s="76" t="s">
        <v>400</v>
      </c>
      <c r="J2230" s="76" t="s">
        <v>372</v>
      </c>
      <c r="K2230" s="77">
        <v>43354</v>
      </c>
      <c r="L2230" s="76" t="s">
        <v>411</v>
      </c>
      <c r="M2230" s="76" t="s">
        <v>1347</v>
      </c>
      <c r="N2230" s="76">
        <v>1000</v>
      </c>
      <c r="O2230" s="76">
        <v>960</v>
      </c>
      <c r="P2230" s="78">
        <v>0.04</v>
      </c>
    </row>
    <row r="2231" spans="7:16" x14ac:dyDescent="0.3">
      <c r="G2231" t="s">
        <v>3977</v>
      </c>
      <c r="H2231" s="76" t="s">
        <v>528</v>
      </c>
      <c r="I2231" s="76" t="s">
        <v>465</v>
      </c>
      <c r="J2231" s="76" t="s">
        <v>366</v>
      </c>
      <c r="K2231" s="76" t="s">
        <v>2684</v>
      </c>
      <c r="L2231" s="76" t="s">
        <v>411</v>
      </c>
      <c r="M2231" s="76" t="s">
        <v>2789</v>
      </c>
      <c r="N2231" s="76">
        <v>1000</v>
      </c>
      <c r="O2231" s="76">
        <v>990</v>
      </c>
      <c r="P2231" s="78">
        <v>0.01</v>
      </c>
    </row>
    <row r="2232" spans="7:16" x14ac:dyDescent="0.3">
      <c r="G2232" t="s">
        <v>3978</v>
      </c>
      <c r="H2232" s="76" t="s">
        <v>591</v>
      </c>
      <c r="I2232" s="76" t="s">
        <v>592</v>
      </c>
      <c r="J2232" s="76" t="s">
        <v>372</v>
      </c>
      <c r="K2232" s="76" t="s">
        <v>3979</v>
      </c>
      <c r="L2232" s="76" t="s">
        <v>405</v>
      </c>
      <c r="M2232" s="76" t="s">
        <v>593</v>
      </c>
      <c r="N2232" s="76">
        <v>800</v>
      </c>
      <c r="O2232" s="76">
        <v>720</v>
      </c>
      <c r="P2232" s="78">
        <v>0.1</v>
      </c>
    </row>
    <row r="2233" spans="7:16" x14ac:dyDescent="0.3">
      <c r="G2233" t="s">
        <v>3980</v>
      </c>
      <c r="H2233" s="76" t="s">
        <v>560</v>
      </c>
      <c r="I2233" s="76" t="s">
        <v>465</v>
      </c>
      <c r="J2233" s="76" t="s">
        <v>366</v>
      </c>
      <c r="K2233" s="77">
        <v>42255</v>
      </c>
      <c r="L2233" s="76" t="s">
        <v>405</v>
      </c>
      <c r="M2233" s="76" t="s">
        <v>1706</v>
      </c>
      <c r="N2233" s="76">
        <v>800</v>
      </c>
      <c r="O2233" s="76">
        <v>600</v>
      </c>
      <c r="P2233" s="78">
        <v>0.25</v>
      </c>
    </row>
    <row r="2234" spans="7:16" x14ac:dyDescent="0.3">
      <c r="G2234" t="s">
        <v>3981</v>
      </c>
      <c r="H2234" s="76" t="s">
        <v>514</v>
      </c>
      <c r="I2234" s="76" t="s">
        <v>515</v>
      </c>
      <c r="J2234" s="76" t="s">
        <v>360</v>
      </c>
      <c r="K2234" s="77">
        <v>42372</v>
      </c>
      <c r="L2234" s="76" t="s">
        <v>396</v>
      </c>
      <c r="M2234" s="76" t="s">
        <v>1281</v>
      </c>
      <c r="N2234" s="76">
        <v>500</v>
      </c>
      <c r="O2234" s="76">
        <v>435</v>
      </c>
      <c r="P2234" s="78">
        <v>0.13</v>
      </c>
    </row>
    <row r="2235" spans="7:16" x14ac:dyDescent="0.3">
      <c r="G2235" t="s">
        <v>3982</v>
      </c>
      <c r="H2235" s="76" t="s">
        <v>591</v>
      </c>
      <c r="I2235" s="76" t="s">
        <v>592</v>
      </c>
      <c r="J2235" s="76" t="s">
        <v>372</v>
      </c>
      <c r="K2235" s="76" t="s">
        <v>850</v>
      </c>
      <c r="L2235" s="76" t="s">
        <v>391</v>
      </c>
      <c r="M2235" s="76" t="s">
        <v>2285</v>
      </c>
      <c r="N2235" s="76">
        <v>30</v>
      </c>
      <c r="O2235" s="76">
        <v>25</v>
      </c>
      <c r="P2235" s="78">
        <v>0.16669999999999999</v>
      </c>
    </row>
    <row r="2236" spans="7:16" x14ac:dyDescent="0.3">
      <c r="G2236" t="s">
        <v>3983</v>
      </c>
      <c r="H2236" s="76" t="s">
        <v>611</v>
      </c>
      <c r="I2236" s="76" t="s">
        <v>389</v>
      </c>
      <c r="J2236" s="76" t="s">
        <v>384</v>
      </c>
      <c r="K2236" s="76" t="s">
        <v>3984</v>
      </c>
      <c r="L2236" s="76" t="s">
        <v>385</v>
      </c>
      <c r="M2236" s="76" t="s">
        <v>1883</v>
      </c>
      <c r="N2236" s="76">
        <v>50</v>
      </c>
      <c r="O2236" s="76">
        <v>46</v>
      </c>
      <c r="P2236" s="78">
        <v>0.08</v>
      </c>
    </row>
    <row r="2237" spans="7:16" x14ac:dyDescent="0.3">
      <c r="G2237" t="s">
        <v>3985</v>
      </c>
      <c r="H2237" s="76" t="s">
        <v>403</v>
      </c>
      <c r="I2237" s="76" t="s">
        <v>404</v>
      </c>
      <c r="J2237" s="76" t="s">
        <v>360</v>
      </c>
      <c r="K2237" s="77">
        <v>41921</v>
      </c>
      <c r="L2237" s="76" t="s">
        <v>385</v>
      </c>
      <c r="M2237" s="76" t="s">
        <v>1178</v>
      </c>
      <c r="N2237" s="76">
        <v>50</v>
      </c>
      <c r="O2237" s="76">
        <v>48</v>
      </c>
      <c r="P2237" s="78">
        <v>0.04</v>
      </c>
    </row>
    <row r="2238" spans="7:16" x14ac:dyDescent="0.3">
      <c r="G2238" t="s">
        <v>3986</v>
      </c>
      <c r="H2238" s="76" t="s">
        <v>519</v>
      </c>
      <c r="I2238" s="76" t="s">
        <v>520</v>
      </c>
      <c r="J2238" s="76" t="s">
        <v>360</v>
      </c>
      <c r="K2238" s="76" t="s">
        <v>1949</v>
      </c>
      <c r="L2238" s="76" t="s">
        <v>379</v>
      </c>
      <c r="M2238" s="76" t="s">
        <v>1343</v>
      </c>
      <c r="N2238" s="76">
        <v>150</v>
      </c>
      <c r="O2238" s="76">
        <v>134</v>
      </c>
      <c r="P2238" s="78">
        <v>0.1067</v>
      </c>
    </row>
    <row r="2239" spans="7:16" x14ac:dyDescent="0.3">
      <c r="G2239" t="s">
        <v>3987</v>
      </c>
      <c r="H2239" s="76" t="s">
        <v>615</v>
      </c>
      <c r="I2239" s="76" t="s">
        <v>400</v>
      </c>
      <c r="J2239" s="76" t="s">
        <v>372</v>
      </c>
      <c r="K2239" s="76" t="s">
        <v>3988</v>
      </c>
      <c r="L2239" s="76" t="s">
        <v>361</v>
      </c>
      <c r="M2239" s="76" t="s">
        <v>3989</v>
      </c>
      <c r="N2239" s="76">
        <v>80</v>
      </c>
      <c r="O2239" s="76">
        <v>75</v>
      </c>
      <c r="P2239" s="78">
        <v>6.25E-2</v>
      </c>
    </row>
    <row r="2240" spans="7:16" x14ac:dyDescent="0.3">
      <c r="G2240" t="s">
        <v>3990</v>
      </c>
      <c r="H2240" s="76" t="s">
        <v>478</v>
      </c>
      <c r="I2240" s="76" t="s">
        <v>479</v>
      </c>
      <c r="J2240" s="76" t="s">
        <v>384</v>
      </c>
      <c r="K2240" s="76" t="s">
        <v>1306</v>
      </c>
      <c r="L2240" s="76" t="s">
        <v>373</v>
      </c>
      <c r="M2240" s="76" t="s">
        <v>1033</v>
      </c>
      <c r="N2240" s="76">
        <v>700</v>
      </c>
      <c r="O2240" s="76">
        <v>693</v>
      </c>
      <c r="P2240" s="78">
        <v>0.01</v>
      </c>
    </row>
    <row r="2241" spans="7:16" x14ac:dyDescent="0.3">
      <c r="G2241" t="s">
        <v>3991</v>
      </c>
      <c r="H2241" s="76" t="s">
        <v>469</v>
      </c>
      <c r="I2241" s="76" t="s">
        <v>435</v>
      </c>
      <c r="J2241" s="76" t="s">
        <v>360</v>
      </c>
      <c r="K2241" s="76" t="s">
        <v>1224</v>
      </c>
      <c r="L2241" s="76" t="s">
        <v>379</v>
      </c>
      <c r="M2241" s="76" t="s">
        <v>1411</v>
      </c>
      <c r="N2241" s="76">
        <v>150</v>
      </c>
      <c r="O2241" s="76">
        <v>119</v>
      </c>
      <c r="P2241" s="78">
        <v>0.20669999999999999</v>
      </c>
    </row>
    <row r="2242" spans="7:16" x14ac:dyDescent="0.3">
      <c r="G2242" t="s">
        <v>3992</v>
      </c>
      <c r="H2242" s="76" t="s">
        <v>409</v>
      </c>
      <c r="I2242" s="76" t="s">
        <v>410</v>
      </c>
      <c r="J2242" s="76" t="s">
        <v>360</v>
      </c>
      <c r="K2242" s="76" t="s">
        <v>486</v>
      </c>
      <c r="L2242" s="76" t="s">
        <v>361</v>
      </c>
      <c r="M2242" s="76" t="s">
        <v>2748</v>
      </c>
      <c r="N2242" s="76">
        <v>80</v>
      </c>
      <c r="O2242" s="76">
        <v>48</v>
      </c>
      <c r="P2242" s="78">
        <v>0.4</v>
      </c>
    </row>
    <row r="2243" spans="7:16" x14ac:dyDescent="0.3">
      <c r="G2243" t="s">
        <v>3993</v>
      </c>
      <c r="H2243" s="76" t="s">
        <v>364</v>
      </c>
      <c r="I2243" s="76" t="s">
        <v>365</v>
      </c>
      <c r="J2243" s="76" t="s">
        <v>366</v>
      </c>
      <c r="K2243" s="76" t="s">
        <v>574</v>
      </c>
      <c r="L2243" s="76" t="s">
        <v>483</v>
      </c>
      <c r="M2243" s="76" t="s">
        <v>368</v>
      </c>
      <c r="N2243" s="76">
        <v>50</v>
      </c>
      <c r="O2243" s="76">
        <v>45</v>
      </c>
      <c r="P2243" s="78">
        <v>0.1</v>
      </c>
    </row>
    <row r="2244" spans="7:16" x14ac:dyDescent="0.3">
      <c r="G2244" t="s">
        <v>3994</v>
      </c>
      <c r="H2244" s="76" t="s">
        <v>560</v>
      </c>
      <c r="I2244" s="76" t="s">
        <v>465</v>
      </c>
      <c r="J2244" s="76" t="s">
        <v>366</v>
      </c>
      <c r="K2244" s="76" t="s">
        <v>3995</v>
      </c>
      <c r="L2244" s="76" t="s">
        <v>475</v>
      </c>
      <c r="M2244" s="76" t="s">
        <v>983</v>
      </c>
      <c r="N2244" s="76">
        <v>250</v>
      </c>
      <c r="O2244" s="76">
        <v>250</v>
      </c>
      <c r="P2244" s="78">
        <v>0</v>
      </c>
    </row>
    <row r="2245" spans="7:16" x14ac:dyDescent="0.3">
      <c r="G2245" t="s">
        <v>3996</v>
      </c>
      <c r="H2245" s="76" t="s">
        <v>489</v>
      </c>
      <c r="I2245" s="76" t="s">
        <v>490</v>
      </c>
      <c r="J2245" s="76" t="s">
        <v>360</v>
      </c>
      <c r="K2245" s="76" t="s">
        <v>2805</v>
      </c>
      <c r="L2245" s="76" t="s">
        <v>396</v>
      </c>
      <c r="M2245" s="76" t="s">
        <v>1539</v>
      </c>
      <c r="N2245" s="76">
        <v>500</v>
      </c>
      <c r="O2245" s="76">
        <v>380</v>
      </c>
      <c r="P2245" s="78">
        <v>0.24</v>
      </c>
    </row>
    <row r="2246" spans="7:16" x14ac:dyDescent="0.3">
      <c r="G2246" t="s">
        <v>3997</v>
      </c>
      <c r="H2246" s="76" t="s">
        <v>388</v>
      </c>
      <c r="I2246" s="76" t="s">
        <v>389</v>
      </c>
      <c r="J2246" s="76" t="s">
        <v>384</v>
      </c>
      <c r="K2246" s="77">
        <v>42893</v>
      </c>
      <c r="L2246" s="76" t="s">
        <v>424</v>
      </c>
      <c r="M2246" s="76" t="s">
        <v>2576</v>
      </c>
      <c r="N2246" s="76">
        <v>500</v>
      </c>
      <c r="O2246" s="76">
        <v>495</v>
      </c>
      <c r="P2246" s="78">
        <v>0.01</v>
      </c>
    </row>
    <row r="2247" spans="7:16" x14ac:dyDescent="0.3">
      <c r="G2247" t="s">
        <v>3998</v>
      </c>
      <c r="H2247" s="76" t="s">
        <v>469</v>
      </c>
      <c r="I2247" s="76" t="s">
        <v>435</v>
      </c>
      <c r="J2247" s="76" t="s">
        <v>360</v>
      </c>
      <c r="K2247" s="76" t="s">
        <v>2730</v>
      </c>
      <c r="L2247" s="76" t="s">
        <v>373</v>
      </c>
      <c r="M2247" s="76" t="s">
        <v>471</v>
      </c>
      <c r="N2247" s="76">
        <v>700</v>
      </c>
      <c r="O2247" s="76">
        <v>623</v>
      </c>
      <c r="P2247" s="78">
        <v>0.11</v>
      </c>
    </row>
    <row r="2248" spans="7:16" x14ac:dyDescent="0.3">
      <c r="G2248" t="s">
        <v>3999</v>
      </c>
      <c r="H2248" s="76" t="s">
        <v>454</v>
      </c>
      <c r="I2248" s="76" t="s">
        <v>455</v>
      </c>
      <c r="J2248" s="76" t="s">
        <v>360</v>
      </c>
      <c r="K2248" s="76" t="s">
        <v>2326</v>
      </c>
      <c r="L2248" s="76" t="s">
        <v>483</v>
      </c>
      <c r="M2248" s="76" t="s">
        <v>1577</v>
      </c>
      <c r="N2248" s="76">
        <v>50</v>
      </c>
      <c r="O2248" s="76">
        <v>44</v>
      </c>
      <c r="P2248" s="78">
        <v>0.12</v>
      </c>
    </row>
    <row r="2249" spans="7:16" x14ac:dyDescent="0.3">
      <c r="G2249" t="s">
        <v>4000</v>
      </c>
      <c r="H2249" s="76" t="s">
        <v>438</v>
      </c>
      <c r="I2249" s="76" t="s">
        <v>439</v>
      </c>
      <c r="J2249" s="76" t="s">
        <v>360</v>
      </c>
      <c r="K2249" s="76" t="s">
        <v>3690</v>
      </c>
      <c r="L2249" s="76" t="s">
        <v>391</v>
      </c>
      <c r="M2249" s="76" t="s">
        <v>798</v>
      </c>
      <c r="N2249" s="76">
        <v>30</v>
      </c>
      <c r="O2249" s="76">
        <v>30</v>
      </c>
      <c r="P2249" s="78">
        <v>0</v>
      </c>
    </row>
    <row r="2250" spans="7:16" x14ac:dyDescent="0.3">
      <c r="G2250" t="s">
        <v>4001</v>
      </c>
      <c r="H2250" s="76" t="s">
        <v>747</v>
      </c>
      <c r="I2250" s="76" t="s">
        <v>748</v>
      </c>
      <c r="J2250" s="76" t="s">
        <v>360</v>
      </c>
      <c r="K2250" s="76" t="s">
        <v>712</v>
      </c>
      <c r="L2250" s="76" t="s">
        <v>385</v>
      </c>
      <c r="M2250" s="76" t="s">
        <v>1100</v>
      </c>
      <c r="N2250" s="76">
        <v>50</v>
      </c>
      <c r="O2250" s="76">
        <v>49</v>
      </c>
      <c r="P2250" s="78">
        <v>0.02</v>
      </c>
    </row>
    <row r="2251" spans="7:16" x14ac:dyDescent="0.3">
      <c r="G2251" t="s">
        <v>4002</v>
      </c>
      <c r="H2251" s="76" t="s">
        <v>524</v>
      </c>
      <c r="I2251" s="76" t="s">
        <v>465</v>
      </c>
      <c r="J2251" s="76" t="s">
        <v>366</v>
      </c>
      <c r="K2251" s="76" t="s">
        <v>2120</v>
      </c>
      <c r="L2251" s="76" t="s">
        <v>361</v>
      </c>
      <c r="M2251" s="76" t="s">
        <v>1655</v>
      </c>
      <c r="N2251" s="76">
        <v>80</v>
      </c>
      <c r="O2251" s="76">
        <v>72</v>
      </c>
      <c r="P2251" s="78">
        <v>0.1</v>
      </c>
    </row>
    <row r="2252" spans="7:16" x14ac:dyDescent="0.3">
      <c r="G2252" t="s">
        <v>4003</v>
      </c>
      <c r="H2252" s="76" t="s">
        <v>388</v>
      </c>
      <c r="I2252" s="76" t="s">
        <v>389</v>
      </c>
      <c r="J2252" s="76" t="s">
        <v>384</v>
      </c>
      <c r="K2252" s="77">
        <v>42130</v>
      </c>
      <c r="L2252" s="76" t="s">
        <v>385</v>
      </c>
      <c r="M2252" s="76" t="s">
        <v>2348</v>
      </c>
      <c r="N2252" s="76">
        <v>50</v>
      </c>
      <c r="O2252" s="76">
        <v>45</v>
      </c>
      <c r="P2252" s="78">
        <v>0.1</v>
      </c>
    </row>
    <row r="2253" spans="7:16" x14ac:dyDescent="0.3">
      <c r="G2253" t="s">
        <v>4004</v>
      </c>
      <c r="H2253" s="76" t="s">
        <v>464</v>
      </c>
      <c r="I2253" s="76" t="s">
        <v>465</v>
      </c>
      <c r="J2253" s="76" t="s">
        <v>366</v>
      </c>
      <c r="K2253" s="76" t="s">
        <v>4005</v>
      </c>
      <c r="L2253" s="76" t="s">
        <v>379</v>
      </c>
      <c r="M2253" s="76" t="s">
        <v>1688</v>
      </c>
      <c r="N2253" s="76">
        <v>150</v>
      </c>
      <c r="O2253" s="76">
        <v>149</v>
      </c>
      <c r="P2253" s="78">
        <v>6.7000000000000002E-3</v>
      </c>
    </row>
    <row r="2254" spans="7:16" x14ac:dyDescent="0.3">
      <c r="G2254" t="s">
        <v>4006</v>
      </c>
      <c r="H2254" s="76" t="s">
        <v>551</v>
      </c>
      <c r="I2254" s="76" t="s">
        <v>552</v>
      </c>
      <c r="J2254" s="76" t="s">
        <v>360</v>
      </c>
      <c r="K2254" s="76" t="s">
        <v>4007</v>
      </c>
      <c r="L2254" s="76" t="s">
        <v>461</v>
      </c>
      <c r="M2254" s="76" t="s">
        <v>553</v>
      </c>
      <c r="N2254" s="76">
        <v>70</v>
      </c>
      <c r="O2254" s="76">
        <v>61</v>
      </c>
      <c r="P2254" s="78">
        <v>0.12859999999999999</v>
      </c>
    </row>
    <row r="2255" spans="7:16" x14ac:dyDescent="0.3">
      <c r="G2255" t="s">
        <v>4008</v>
      </c>
      <c r="H2255" s="76" t="s">
        <v>434</v>
      </c>
      <c r="I2255" s="76" t="s">
        <v>435</v>
      </c>
      <c r="J2255" s="76" t="s">
        <v>360</v>
      </c>
      <c r="K2255" s="76" t="s">
        <v>1807</v>
      </c>
      <c r="L2255" s="76" t="s">
        <v>424</v>
      </c>
      <c r="M2255" s="76" t="s">
        <v>827</v>
      </c>
      <c r="N2255" s="76">
        <v>500</v>
      </c>
      <c r="O2255" s="76">
        <v>500</v>
      </c>
      <c r="P2255" s="78">
        <v>0</v>
      </c>
    </row>
    <row r="2256" spans="7:16" x14ac:dyDescent="0.3">
      <c r="G2256" t="s">
        <v>4009</v>
      </c>
      <c r="H2256" s="76" t="s">
        <v>449</v>
      </c>
      <c r="I2256" s="76" t="s">
        <v>450</v>
      </c>
      <c r="J2256" s="76" t="s">
        <v>360</v>
      </c>
      <c r="K2256" s="76" t="s">
        <v>1795</v>
      </c>
      <c r="L2256" s="76" t="s">
        <v>373</v>
      </c>
      <c r="M2256" s="76" t="s">
        <v>2194</v>
      </c>
      <c r="N2256" s="76">
        <v>700</v>
      </c>
      <c r="O2256" s="76">
        <v>672</v>
      </c>
      <c r="P2256" s="78">
        <v>0.04</v>
      </c>
    </row>
    <row r="2257" spans="7:16" x14ac:dyDescent="0.3">
      <c r="G2257" t="s">
        <v>4010</v>
      </c>
      <c r="H2257" s="76" t="s">
        <v>891</v>
      </c>
      <c r="I2257" s="76" t="s">
        <v>892</v>
      </c>
      <c r="J2257" s="76" t="s">
        <v>372</v>
      </c>
      <c r="K2257" s="77">
        <v>43104</v>
      </c>
      <c r="L2257" s="76" t="s">
        <v>405</v>
      </c>
      <c r="M2257" s="76" t="s">
        <v>1459</v>
      </c>
      <c r="N2257" s="76">
        <v>800</v>
      </c>
      <c r="O2257" s="76">
        <v>640</v>
      </c>
      <c r="P2257" s="78">
        <v>0.2</v>
      </c>
    </row>
    <row r="2258" spans="7:16" x14ac:dyDescent="0.3">
      <c r="G2258" t="s">
        <v>4011</v>
      </c>
      <c r="H2258" s="76" t="s">
        <v>638</v>
      </c>
      <c r="I2258" s="76" t="s">
        <v>639</v>
      </c>
      <c r="J2258" s="76" t="s">
        <v>360</v>
      </c>
      <c r="K2258" s="76" t="s">
        <v>1470</v>
      </c>
      <c r="L2258" s="76" t="s">
        <v>411</v>
      </c>
      <c r="M2258" s="76" t="s">
        <v>818</v>
      </c>
      <c r="N2258" s="76">
        <v>1000</v>
      </c>
      <c r="O2258" s="76">
        <v>630</v>
      </c>
      <c r="P2258" s="78">
        <v>0.37</v>
      </c>
    </row>
    <row r="2259" spans="7:16" x14ac:dyDescent="0.3">
      <c r="G2259" t="s">
        <v>4012</v>
      </c>
      <c r="H2259" s="76" t="s">
        <v>489</v>
      </c>
      <c r="I2259" s="76" t="s">
        <v>490</v>
      </c>
      <c r="J2259" s="76" t="s">
        <v>360</v>
      </c>
      <c r="K2259" s="77">
        <v>42740</v>
      </c>
      <c r="L2259" s="76" t="s">
        <v>385</v>
      </c>
      <c r="M2259" s="76" t="s">
        <v>597</v>
      </c>
      <c r="N2259" s="76">
        <v>50</v>
      </c>
      <c r="O2259" s="76">
        <v>46</v>
      </c>
      <c r="P2259" s="78">
        <v>0.08</v>
      </c>
    </row>
    <row r="2260" spans="7:16" x14ac:dyDescent="0.3">
      <c r="G2260" t="s">
        <v>4013</v>
      </c>
      <c r="H2260" s="76" t="s">
        <v>3257</v>
      </c>
      <c r="I2260" s="76" t="s">
        <v>465</v>
      </c>
      <c r="J2260" s="76" t="s">
        <v>366</v>
      </c>
      <c r="K2260" s="77">
        <v>42339</v>
      </c>
      <c r="L2260" s="76" t="s">
        <v>385</v>
      </c>
      <c r="M2260" s="76" t="s">
        <v>3897</v>
      </c>
      <c r="N2260" s="76">
        <v>50</v>
      </c>
      <c r="O2260" s="76">
        <v>33</v>
      </c>
      <c r="P2260" s="78">
        <v>0.34</v>
      </c>
    </row>
    <row r="2261" spans="7:16" x14ac:dyDescent="0.3">
      <c r="G2261" t="s">
        <v>4014</v>
      </c>
      <c r="H2261" s="76" t="s">
        <v>449</v>
      </c>
      <c r="I2261" s="76" t="s">
        <v>450</v>
      </c>
      <c r="J2261" s="76" t="s">
        <v>360</v>
      </c>
      <c r="K2261" s="76" t="s">
        <v>2395</v>
      </c>
      <c r="L2261" s="76" t="s">
        <v>405</v>
      </c>
      <c r="M2261" s="76" t="s">
        <v>928</v>
      </c>
      <c r="N2261" s="76">
        <v>800</v>
      </c>
      <c r="O2261" s="76">
        <v>568</v>
      </c>
      <c r="P2261" s="78">
        <v>0.28999999999999998</v>
      </c>
    </row>
    <row r="2262" spans="7:16" x14ac:dyDescent="0.3">
      <c r="G2262" t="s">
        <v>4015</v>
      </c>
      <c r="H2262" s="76" t="s">
        <v>444</v>
      </c>
      <c r="I2262" s="76" t="s">
        <v>445</v>
      </c>
      <c r="J2262" s="76" t="s">
        <v>384</v>
      </c>
      <c r="K2262" s="76" t="s">
        <v>4016</v>
      </c>
      <c r="L2262" s="76" t="s">
        <v>396</v>
      </c>
      <c r="M2262" s="76" t="s">
        <v>3388</v>
      </c>
      <c r="N2262" s="76">
        <v>500</v>
      </c>
      <c r="O2262" s="76">
        <v>490</v>
      </c>
      <c r="P2262" s="78">
        <v>0.02</v>
      </c>
    </row>
    <row r="2263" spans="7:16" x14ac:dyDescent="0.3">
      <c r="G2263" t="s">
        <v>4017</v>
      </c>
      <c r="H2263" s="76" t="s">
        <v>514</v>
      </c>
      <c r="I2263" s="76" t="s">
        <v>515</v>
      </c>
      <c r="J2263" s="76" t="s">
        <v>360</v>
      </c>
      <c r="K2263" s="77">
        <v>42892</v>
      </c>
      <c r="L2263" s="76" t="s">
        <v>475</v>
      </c>
      <c r="M2263" s="76" t="s">
        <v>1658</v>
      </c>
      <c r="N2263" s="76">
        <v>250</v>
      </c>
      <c r="O2263" s="76">
        <v>238</v>
      </c>
      <c r="P2263" s="78">
        <v>4.8000000000000001E-2</v>
      </c>
    </row>
    <row r="2264" spans="7:16" x14ac:dyDescent="0.3">
      <c r="G2264" t="s">
        <v>4018</v>
      </c>
      <c r="H2264" s="76" t="s">
        <v>454</v>
      </c>
      <c r="I2264" s="76" t="s">
        <v>455</v>
      </c>
      <c r="J2264" s="76" t="s">
        <v>360</v>
      </c>
      <c r="K2264" s="76" t="s">
        <v>612</v>
      </c>
      <c r="L2264" s="76" t="s">
        <v>391</v>
      </c>
      <c r="M2264" s="76" t="s">
        <v>1772</v>
      </c>
      <c r="N2264" s="76">
        <v>30</v>
      </c>
      <c r="O2264" s="76">
        <v>26</v>
      </c>
      <c r="P2264" s="78">
        <v>0.1333</v>
      </c>
    </row>
    <row r="2265" spans="7:16" x14ac:dyDescent="0.3">
      <c r="G2265" t="s">
        <v>4019</v>
      </c>
      <c r="H2265" s="76" t="s">
        <v>615</v>
      </c>
      <c r="I2265" s="76" t="s">
        <v>400</v>
      </c>
      <c r="J2265" s="76" t="s">
        <v>372</v>
      </c>
      <c r="K2265" s="76" t="s">
        <v>4020</v>
      </c>
      <c r="L2265" s="76" t="s">
        <v>391</v>
      </c>
      <c r="M2265" s="76" t="s">
        <v>3758</v>
      </c>
      <c r="N2265" s="76">
        <v>30</v>
      </c>
      <c r="O2265" s="76">
        <v>30</v>
      </c>
      <c r="P2265" s="78">
        <v>0</v>
      </c>
    </row>
    <row r="2266" spans="7:16" x14ac:dyDescent="0.3">
      <c r="G2266" t="s">
        <v>4021</v>
      </c>
      <c r="H2266" s="76" t="s">
        <v>668</v>
      </c>
      <c r="I2266" s="76" t="s">
        <v>669</v>
      </c>
      <c r="J2266" s="76" t="s">
        <v>360</v>
      </c>
      <c r="K2266" s="76" t="s">
        <v>2150</v>
      </c>
      <c r="L2266" s="76" t="s">
        <v>411</v>
      </c>
      <c r="M2266" s="76" t="s">
        <v>1115</v>
      </c>
      <c r="N2266" s="76">
        <v>1000</v>
      </c>
      <c r="O2266" s="76">
        <v>860</v>
      </c>
      <c r="P2266" s="78">
        <v>0.14000000000000001</v>
      </c>
    </row>
    <row r="2267" spans="7:16" x14ac:dyDescent="0.3">
      <c r="G2267" t="s">
        <v>4022</v>
      </c>
      <c r="H2267" s="76" t="s">
        <v>675</v>
      </c>
      <c r="I2267" s="76" t="s">
        <v>676</v>
      </c>
      <c r="J2267" s="76" t="s">
        <v>384</v>
      </c>
      <c r="K2267" s="76" t="s">
        <v>1916</v>
      </c>
      <c r="L2267" s="76" t="s">
        <v>411</v>
      </c>
      <c r="M2267" s="76" t="s">
        <v>4023</v>
      </c>
      <c r="N2267" s="76">
        <v>1000</v>
      </c>
      <c r="O2267" s="76">
        <v>800</v>
      </c>
      <c r="P2267" s="78">
        <v>0.2</v>
      </c>
    </row>
    <row r="2268" spans="7:16" x14ac:dyDescent="0.3">
      <c r="G2268" t="s">
        <v>4024</v>
      </c>
      <c r="H2268" s="76" t="s">
        <v>560</v>
      </c>
      <c r="I2268" s="76" t="s">
        <v>465</v>
      </c>
      <c r="J2268" s="76" t="s">
        <v>366</v>
      </c>
      <c r="K2268" s="76" t="s">
        <v>3315</v>
      </c>
      <c r="L2268" s="76" t="s">
        <v>361</v>
      </c>
      <c r="M2268" s="76" t="s">
        <v>1214</v>
      </c>
      <c r="N2268" s="76">
        <v>80</v>
      </c>
      <c r="O2268" s="76">
        <v>79</v>
      </c>
      <c r="P2268" s="78">
        <v>1.2500000000000001E-2</v>
      </c>
    </row>
    <row r="2269" spans="7:16" x14ac:dyDescent="0.3">
      <c r="G2269" t="s">
        <v>4025</v>
      </c>
      <c r="H2269" s="76" t="s">
        <v>551</v>
      </c>
      <c r="I2269" s="76" t="s">
        <v>552</v>
      </c>
      <c r="J2269" s="76" t="s">
        <v>360</v>
      </c>
      <c r="K2269" s="76" t="s">
        <v>3952</v>
      </c>
      <c r="L2269" s="76" t="s">
        <v>385</v>
      </c>
      <c r="M2269" s="76" t="s">
        <v>742</v>
      </c>
      <c r="N2269" s="76">
        <v>50</v>
      </c>
      <c r="O2269" s="76">
        <v>49</v>
      </c>
      <c r="P2269" s="78">
        <v>0.02</v>
      </c>
    </row>
    <row r="2270" spans="7:16" x14ac:dyDescent="0.3">
      <c r="G2270" t="s">
        <v>4026</v>
      </c>
      <c r="H2270" s="76" t="s">
        <v>459</v>
      </c>
      <c r="I2270" s="76" t="s">
        <v>422</v>
      </c>
      <c r="J2270" s="76" t="s">
        <v>384</v>
      </c>
      <c r="K2270" s="76" t="s">
        <v>3279</v>
      </c>
      <c r="L2270" s="76" t="s">
        <v>391</v>
      </c>
      <c r="M2270" s="76" t="s">
        <v>1106</v>
      </c>
      <c r="N2270" s="76">
        <v>30</v>
      </c>
      <c r="O2270" s="76">
        <v>28</v>
      </c>
      <c r="P2270" s="78">
        <v>6.6699999999999995E-2</v>
      </c>
    </row>
    <row r="2271" spans="7:16" x14ac:dyDescent="0.3">
      <c r="G2271" t="s">
        <v>4027</v>
      </c>
      <c r="H2271" s="76" t="s">
        <v>547</v>
      </c>
      <c r="I2271" s="76" t="s">
        <v>548</v>
      </c>
      <c r="J2271" s="76" t="s">
        <v>360</v>
      </c>
      <c r="K2271" s="77">
        <v>42318</v>
      </c>
      <c r="L2271" s="76" t="s">
        <v>373</v>
      </c>
      <c r="M2271" s="76" t="s">
        <v>549</v>
      </c>
      <c r="N2271" s="76">
        <v>700</v>
      </c>
      <c r="O2271" s="76">
        <v>623</v>
      </c>
      <c r="P2271" s="78">
        <v>0.11</v>
      </c>
    </row>
    <row r="2272" spans="7:16" x14ac:dyDescent="0.3">
      <c r="G2272" t="s">
        <v>4028</v>
      </c>
      <c r="H2272" s="76" t="s">
        <v>619</v>
      </c>
      <c r="I2272" s="76" t="s">
        <v>620</v>
      </c>
      <c r="J2272" s="76" t="s">
        <v>372</v>
      </c>
      <c r="K2272" s="77">
        <v>42614</v>
      </c>
      <c r="L2272" s="76" t="s">
        <v>396</v>
      </c>
      <c r="M2272" s="76" t="s">
        <v>1142</v>
      </c>
      <c r="N2272" s="76">
        <v>500</v>
      </c>
      <c r="O2272" s="76">
        <v>435</v>
      </c>
      <c r="P2272" s="78">
        <v>0.13</v>
      </c>
    </row>
    <row r="2273" spans="7:16" x14ac:dyDescent="0.3">
      <c r="G2273" t="s">
        <v>4029</v>
      </c>
      <c r="H2273" s="76" t="s">
        <v>675</v>
      </c>
      <c r="I2273" s="76" t="s">
        <v>676</v>
      </c>
      <c r="J2273" s="76" t="s">
        <v>384</v>
      </c>
      <c r="K2273" s="77">
        <v>41985</v>
      </c>
      <c r="L2273" s="76" t="s">
        <v>373</v>
      </c>
      <c r="M2273" s="76" t="s">
        <v>2728</v>
      </c>
      <c r="N2273" s="76">
        <v>700</v>
      </c>
      <c r="O2273" s="76">
        <v>693</v>
      </c>
      <c r="P2273" s="78">
        <v>0.01</v>
      </c>
    </row>
    <row r="2274" spans="7:16" x14ac:dyDescent="0.3">
      <c r="G2274" t="s">
        <v>4030</v>
      </c>
      <c r="H2274" s="76" t="s">
        <v>494</v>
      </c>
      <c r="I2274" s="76" t="s">
        <v>465</v>
      </c>
      <c r="J2274" s="76" t="s">
        <v>366</v>
      </c>
      <c r="K2274" s="77">
        <v>42830</v>
      </c>
      <c r="L2274" s="76" t="s">
        <v>379</v>
      </c>
      <c r="M2274" s="76" t="s">
        <v>2378</v>
      </c>
      <c r="N2274" s="76">
        <v>150</v>
      </c>
      <c r="O2274" s="76">
        <v>150</v>
      </c>
      <c r="P2274" s="78">
        <v>0</v>
      </c>
    </row>
    <row r="2275" spans="7:16" x14ac:dyDescent="0.3">
      <c r="G2275" t="s">
        <v>4031</v>
      </c>
      <c r="H2275" s="76" t="s">
        <v>700</v>
      </c>
      <c r="I2275" s="76" t="s">
        <v>465</v>
      </c>
      <c r="J2275" s="76" t="s">
        <v>366</v>
      </c>
      <c r="K2275" s="77">
        <v>42253</v>
      </c>
      <c r="L2275" s="76" t="s">
        <v>405</v>
      </c>
      <c r="M2275" s="76" t="s">
        <v>1703</v>
      </c>
      <c r="N2275" s="76">
        <v>800</v>
      </c>
      <c r="O2275" s="76">
        <v>696</v>
      </c>
      <c r="P2275" s="78">
        <v>0.13</v>
      </c>
    </row>
    <row r="2276" spans="7:16" x14ac:dyDescent="0.3">
      <c r="G2276" t="s">
        <v>4032</v>
      </c>
      <c r="H2276" s="76" t="s">
        <v>566</v>
      </c>
      <c r="I2276" s="76" t="s">
        <v>567</v>
      </c>
      <c r="J2276" s="76" t="s">
        <v>360</v>
      </c>
      <c r="K2276" s="76" t="s">
        <v>1736</v>
      </c>
      <c r="L2276" s="76" t="s">
        <v>391</v>
      </c>
      <c r="M2276" s="76" t="s">
        <v>1302</v>
      </c>
      <c r="N2276" s="76">
        <v>30</v>
      </c>
      <c r="O2276" s="76">
        <v>26</v>
      </c>
      <c r="P2276" s="78">
        <v>0.1333</v>
      </c>
    </row>
    <row r="2277" spans="7:16" x14ac:dyDescent="0.3">
      <c r="G2277" t="s">
        <v>4033</v>
      </c>
      <c r="H2277" s="76" t="s">
        <v>394</v>
      </c>
      <c r="I2277" s="76" t="s">
        <v>395</v>
      </c>
      <c r="J2277" s="76" t="s">
        <v>372</v>
      </c>
      <c r="K2277" s="76" t="s">
        <v>2136</v>
      </c>
      <c r="L2277" s="76" t="s">
        <v>373</v>
      </c>
      <c r="M2277" s="76" t="s">
        <v>1787</v>
      </c>
      <c r="N2277" s="76">
        <v>700</v>
      </c>
      <c r="O2277" s="76">
        <v>623</v>
      </c>
      <c r="P2277" s="78">
        <v>0.11</v>
      </c>
    </row>
    <row r="2278" spans="7:16" x14ac:dyDescent="0.3">
      <c r="G2278" t="s">
        <v>4034</v>
      </c>
      <c r="H2278" s="76" t="s">
        <v>638</v>
      </c>
      <c r="I2278" s="76" t="s">
        <v>639</v>
      </c>
      <c r="J2278" s="76" t="s">
        <v>360</v>
      </c>
      <c r="K2278" s="76" t="s">
        <v>4035</v>
      </c>
      <c r="L2278" s="76" t="s">
        <v>361</v>
      </c>
      <c r="M2278" s="76" t="s">
        <v>698</v>
      </c>
      <c r="N2278" s="76">
        <v>80</v>
      </c>
      <c r="O2278" s="76">
        <v>74</v>
      </c>
      <c r="P2278" s="78">
        <v>7.4999999999999997E-2</v>
      </c>
    </row>
    <row r="2279" spans="7:16" x14ac:dyDescent="0.3">
      <c r="G2279" t="s">
        <v>4036</v>
      </c>
      <c r="H2279" s="76" t="s">
        <v>409</v>
      </c>
      <c r="I2279" s="76" t="s">
        <v>410</v>
      </c>
      <c r="J2279" s="76" t="s">
        <v>360</v>
      </c>
      <c r="K2279" s="76" t="s">
        <v>3157</v>
      </c>
      <c r="L2279" s="76" t="s">
        <v>391</v>
      </c>
      <c r="M2279" s="76" t="s">
        <v>2748</v>
      </c>
      <c r="N2279" s="76">
        <v>30</v>
      </c>
      <c r="O2279" s="76">
        <v>21</v>
      </c>
      <c r="P2279" s="78">
        <v>0.3</v>
      </c>
    </row>
    <row r="2280" spans="7:16" x14ac:dyDescent="0.3">
      <c r="G2280" t="s">
        <v>4037</v>
      </c>
      <c r="H2280" s="76" t="s">
        <v>494</v>
      </c>
      <c r="I2280" s="76" t="s">
        <v>465</v>
      </c>
      <c r="J2280" s="76" t="s">
        <v>366</v>
      </c>
      <c r="K2280" s="76" t="s">
        <v>4038</v>
      </c>
      <c r="L2280" s="76" t="s">
        <v>361</v>
      </c>
      <c r="M2280" s="76" t="s">
        <v>947</v>
      </c>
      <c r="N2280" s="76">
        <v>80</v>
      </c>
      <c r="O2280" s="76">
        <v>68</v>
      </c>
      <c r="P2280" s="78">
        <v>0.15</v>
      </c>
    </row>
    <row r="2281" spans="7:16" x14ac:dyDescent="0.3">
      <c r="G2281" t="s">
        <v>4039</v>
      </c>
      <c r="H2281" s="76" t="s">
        <v>444</v>
      </c>
      <c r="I2281" s="76" t="s">
        <v>445</v>
      </c>
      <c r="J2281" s="76" t="s">
        <v>384</v>
      </c>
      <c r="K2281" s="76" t="s">
        <v>3837</v>
      </c>
      <c r="L2281" s="76" t="s">
        <v>483</v>
      </c>
      <c r="M2281" s="76" t="s">
        <v>1854</v>
      </c>
      <c r="N2281" s="76">
        <v>50</v>
      </c>
      <c r="O2281" s="76">
        <v>48</v>
      </c>
      <c r="P2281" s="78">
        <v>0.04</v>
      </c>
    </row>
    <row r="2282" spans="7:16" x14ac:dyDescent="0.3">
      <c r="G2282" t="s">
        <v>4040</v>
      </c>
      <c r="H2282" s="76" t="s">
        <v>388</v>
      </c>
      <c r="I2282" s="76" t="s">
        <v>389</v>
      </c>
      <c r="J2282" s="76" t="s">
        <v>384</v>
      </c>
      <c r="K2282" s="77">
        <v>42742</v>
      </c>
      <c r="L2282" s="76" t="s">
        <v>391</v>
      </c>
      <c r="M2282" s="76" t="s">
        <v>2053</v>
      </c>
      <c r="N2282" s="76">
        <v>30</v>
      </c>
      <c r="O2282" s="76">
        <v>29</v>
      </c>
      <c r="P2282" s="78">
        <v>3.3300000000000003E-2</v>
      </c>
    </row>
    <row r="2283" spans="7:16" x14ac:dyDescent="0.3">
      <c r="G2283" t="s">
        <v>4041</v>
      </c>
      <c r="H2283" s="76" t="s">
        <v>454</v>
      </c>
      <c r="I2283" s="76" t="s">
        <v>455</v>
      </c>
      <c r="J2283" s="76" t="s">
        <v>360</v>
      </c>
      <c r="K2283" s="76" t="s">
        <v>4042</v>
      </c>
      <c r="L2283" s="76" t="s">
        <v>391</v>
      </c>
      <c r="M2283" s="76" t="s">
        <v>1577</v>
      </c>
      <c r="N2283" s="76">
        <v>30</v>
      </c>
      <c r="O2283" s="76">
        <v>29</v>
      </c>
      <c r="P2283" s="78">
        <v>3.3300000000000003E-2</v>
      </c>
    </row>
    <row r="2284" spans="7:16" x14ac:dyDescent="0.3">
      <c r="G2284" t="s">
        <v>4043</v>
      </c>
      <c r="H2284" s="76" t="s">
        <v>459</v>
      </c>
      <c r="I2284" s="76" t="s">
        <v>422</v>
      </c>
      <c r="J2284" s="76" t="s">
        <v>384</v>
      </c>
      <c r="K2284" s="77">
        <v>42646</v>
      </c>
      <c r="L2284" s="76" t="s">
        <v>411</v>
      </c>
      <c r="M2284" s="76" t="s">
        <v>462</v>
      </c>
      <c r="N2284" s="76">
        <v>1000</v>
      </c>
      <c r="O2284" s="76">
        <v>510</v>
      </c>
      <c r="P2284" s="78">
        <v>0.49</v>
      </c>
    </row>
    <row r="2285" spans="7:16" x14ac:dyDescent="0.3">
      <c r="G2285" t="s">
        <v>4044</v>
      </c>
      <c r="H2285" s="76" t="s">
        <v>414</v>
      </c>
      <c r="I2285" s="76" t="s">
        <v>415</v>
      </c>
      <c r="J2285" s="76" t="s">
        <v>384</v>
      </c>
      <c r="K2285" s="76" t="s">
        <v>2201</v>
      </c>
      <c r="L2285" s="76" t="s">
        <v>391</v>
      </c>
      <c r="M2285" s="76" t="s">
        <v>2361</v>
      </c>
      <c r="N2285" s="76">
        <v>30</v>
      </c>
      <c r="O2285" s="76">
        <v>29</v>
      </c>
      <c r="P2285" s="78">
        <v>3.3300000000000003E-2</v>
      </c>
    </row>
    <row r="2286" spans="7:16" x14ac:dyDescent="0.3">
      <c r="G2286" t="s">
        <v>4045</v>
      </c>
      <c r="H2286" s="76" t="s">
        <v>434</v>
      </c>
      <c r="I2286" s="76" t="s">
        <v>435</v>
      </c>
      <c r="J2286" s="76" t="s">
        <v>360</v>
      </c>
      <c r="K2286" s="77">
        <v>41678</v>
      </c>
      <c r="L2286" s="76" t="s">
        <v>411</v>
      </c>
      <c r="M2286" s="76" t="s">
        <v>691</v>
      </c>
      <c r="N2286" s="76">
        <v>1000</v>
      </c>
      <c r="O2286" s="76">
        <v>840</v>
      </c>
      <c r="P2286" s="78">
        <v>0.16</v>
      </c>
    </row>
    <row r="2287" spans="7:16" x14ac:dyDescent="0.3">
      <c r="G2287" t="s">
        <v>4046</v>
      </c>
      <c r="H2287" s="76" t="s">
        <v>376</v>
      </c>
      <c r="I2287" s="76" t="s">
        <v>377</v>
      </c>
      <c r="J2287" s="76" t="s">
        <v>360</v>
      </c>
      <c r="K2287" s="76" t="s">
        <v>1260</v>
      </c>
      <c r="L2287" s="76" t="s">
        <v>475</v>
      </c>
      <c r="M2287" s="76" t="s">
        <v>877</v>
      </c>
      <c r="N2287" s="76">
        <v>250</v>
      </c>
      <c r="O2287" s="76">
        <v>225</v>
      </c>
      <c r="P2287" s="78">
        <v>0.1</v>
      </c>
    </row>
    <row r="2288" spans="7:16" x14ac:dyDescent="0.3">
      <c r="G2288" t="s">
        <v>4047</v>
      </c>
      <c r="H2288" s="76" t="s">
        <v>619</v>
      </c>
      <c r="I2288" s="76" t="s">
        <v>620</v>
      </c>
      <c r="J2288" s="76" t="s">
        <v>372</v>
      </c>
      <c r="K2288" s="76" t="s">
        <v>905</v>
      </c>
      <c r="L2288" s="76" t="s">
        <v>391</v>
      </c>
      <c r="M2288" s="76" t="s">
        <v>1433</v>
      </c>
      <c r="N2288" s="76">
        <v>30</v>
      </c>
      <c r="O2288" s="76">
        <v>26</v>
      </c>
      <c r="P2288" s="78">
        <v>0.1333</v>
      </c>
    </row>
    <row r="2289" spans="7:16" x14ac:dyDescent="0.3">
      <c r="G2289" t="s">
        <v>4048</v>
      </c>
      <c r="H2289" s="76" t="s">
        <v>551</v>
      </c>
      <c r="I2289" s="76" t="s">
        <v>552</v>
      </c>
      <c r="J2289" s="76" t="s">
        <v>360</v>
      </c>
      <c r="K2289" s="76" t="s">
        <v>1332</v>
      </c>
      <c r="L2289" s="76" t="s">
        <v>373</v>
      </c>
      <c r="M2289" s="76" t="s">
        <v>2255</v>
      </c>
      <c r="N2289" s="76">
        <v>700</v>
      </c>
      <c r="O2289" s="76">
        <v>539</v>
      </c>
      <c r="P2289" s="78">
        <v>0.23</v>
      </c>
    </row>
    <row r="2290" spans="7:16" x14ac:dyDescent="0.3">
      <c r="G2290" t="s">
        <v>4049</v>
      </c>
      <c r="H2290" s="76" t="s">
        <v>376</v>
      </c>
      <c r="I2290" s="76" t="s">
        <v>377</v>
      </c>
      <c r="J2290" s="76" t="s">
        <v>360</v>
      </c>
      <c r="K2290" s="76" t="s">
        <v>2936</v>
      </c>
      <c r="L2290" s="76" t="s">
        <v>483</v>
      </c>
      <c r="M2290" s="76" t="s">
        <v>1796</v>
      </c>
      <c r="N2290" s="76">
        <v>50</v>
      </c>
      <c r="O2290" s="76">
        <v>49</v>
      </c>
      <c r="P2290" s="78">
        <v>0.02</v>
      </c>
    </row>
    <row r="2291" spans="7:16" x14ac:dyDescent="0.3">
      <c r="G2291" t="s">
        <v>4050</v>
      </c>
      <c r="H2291" s="76" t="s">
        <v>473</v>
      </c>
      <c r="I2291" s="76" t="s">
        <v>404</v>
      </c>
      <c r="J2291" s="76" t="s">
        <v>360</v>
      </c>
      <c r="K2291" s="76" t="s">
        <v>979</v>
      </c>
      <c r="L2291" s="76" t="s">
        <v>361</v>
      </c>
      <c r="M2291" s="76" t="s">
        <v>2905</v>
      </c>
      <c r="N2291" s="76">
        <v>80</v>
      </c>
      <c r="O2291" s="76">
        <v>70</v>
      </c>
      <c r="P2291" s="78">
        <v>0.125</v>
      </c>
    </row>
    <row r="2292" spans="7:16" x14ac:dyDescent="0.3">
      <c r="G2292" t="s">
        <v>4051</v>
      </c>
      <c r="H2292" s="76" t="s">
        <v>700</v>
      </c>
      <c r="I2292" s="76" t="s">
        <v>465</v>
      </c>
      <c r="J2292" s="76" t="s">
        <v>366</v>
      </c>
      <c r="K2292" s="76" t="s">
        <v>2293</v>
      </c>
      <c r="L2292" s="76" t="s">
        <v>385</v>
      </c>
      <c r="M2292" s="76" t="s">
        <v>702</v>
      </c>
      <c r="N2292" s="76">
        <v>50</v>
      </c>
      <c r="O2292" s="76">
        <v>48</v>
      </c>
      <c r="P2292" s="78">
        <v>0.04</v>
      </c>
    </row>
    <row r="2293" spans="7:16" x14ac:dyDescent="0.3">
      <c r="G2293" t="s">
        <v>4052</v>
      </c>
      <c r="H2293" s="76" t="s">
        <v>3257</v>
      </c>
      <c r="I2293" s="76" t="s">
        <v>465</v>
      </c>
      <c r="J2293" s="76" t="s">
        <v>366</v>
      </c>
      <c r="K2293" s="77">
        <v>43015</v>
      </c>
      <c r="L2293" s="76" t="s">
        <v>405</v>
      </c>
      <c r="M2293" s="76" t="s">
        <v>3493</v>
      </c>
      <c r="N2293" s="76">
        <v>800</v>
      </c>
      <c r="O2293" s="76">
        <v>544</v>
      </c>
      <c r="P2293" s="78">
        <v>0.32</v>
      </c>
    </row>
    <row r="2294" spans="7:16" x14ac:dyDescent="0.3">
      <c r="G2294" t="s">
        <v>4053</v>
      </c>
      <c r="H2294" s="76" t="s">
        <v>469</v>
      </c>
      <c r="I2294" s="76" t="s">
        <v>435</v>
      </c>
      <c r="J2294" s="76" t="s">
        <v>360</v>
      </c>
      <c r="K2294" s="76" t="s">
        <v>4054</v>
      </c>
      <c r="L2294" s="76" t="s">
        <v>385</v>
      </c>
      <c r="M2294" s="76" t="s">
        <v>1419</v>
      </c>
      <c r="N2294" s="76">
        <v>50</v>
      </c>
      <c r="O2294" s="76">
        <v>44</v>
      </c>
      <c r="P2294" s="78">
        <v>0.12</v>
      </c>
    </row>
    <row r="2295" spans="7:16" x14ac:dyDescent="0.3">
      <c r="G2295" t="s">
        <v>4055</v>
      </c>
      <c r="H2295" s="76" t="s">
        <v>421</v>
      </c>
      <c r="I2295" s="76" t="s">
        <v>422</v>
      </c>
      <c r="J2295" s="76" t="s">
        <v>384</v>
      </c>
      <c r="K2295" s="76" t="s">
        <v>579</v>
      </c>
      <c r="L2295" s="76" t="s">
        <v>405</v>
      </c>
      <c r="M2295" s="76" t="s">
        <v>833</v>
      </c>
      <c r="N2295" s="76">
        <v>800</v>
      </c>
      <c r="O2295" s="76">
        <v>648</v>
      </c>
      <c r="P2295" s="78">
        <v>0.19</v>
      </c>
    </row>
    <row r="2296" spans="7:16" x14ac:dyDescent="0.3">
      <c r="G2296" t="s">
        <v>4056</v>
      </c>
      <c r="H2296" s="76" t="s">
        <v>3165</v>
      </c>
      <c r="I2296" s="76" t="s">
        <v>365</v>
      </c>
      <c r="J2296" s="76" t="s">
        <v>366</v>
      </c>
      <c r="K2296" s="77">
        <v>42863</v>
      </c>
      <c r="L2296" s="76" t="s">
        <v>461</v>
      </c>
      <c r="M2296" s="76" t="s">
        <v>3227</v>
      </c>
      <c r="N2296" s="76">
        <v>70</v>
      </c>
      <c r="O2296" s="76">
        <v>67</v>
      </c>
      <c r="P2296" s="78">
        <v>4.2900000000000001E-2</v>
      </c>
    </row>
    <row r="2297" spans="7:16" x14ac:dyDescent="0.3">
      <c r="G2297" t="s">
        <v>4057</v>
      </c>
      <c r="H2297" s="76" t="s">
        <v>399</v>
      </c>
      <c r="I2297" s="76" t="s">
        <v>400</v>
      </c>
      <c r="J2297" s="76" t="s">
        <v>372</v>
      </c>
      <c r="K2297" s="77">
        <v>42313</v>
      </c>
      <c r="L2297" s="76" t="s">
        <v>483</v>
      </c>
      <c r="M2297" s="76" t="s">
        <v>1286</v>
      </c>
      <c r="N2297" s="76">
        <v>50</v>
      </c>
      <c r="O2297" s="76">
        <v>38</v>
      </c>
      <c r="P2297" s="78">
        <v>0.24</v>
      </c>
    </row>
    <row r="2298" spans="7:16" x14ac:dyDescent="0.3">
      <c r="G2298" t="s">
        <v>4058</v>
      </c>
      <c r="H2298" s="76" t="s">
        <v>469</v>
      </c>
      <c r="I2298" s="76" t="s">
        <v>435</v>
      </c>
      <c r="J2298" s="76" t="s">
        <v>360</v>
      </c>
      <c r="K2298" s="76" t="s">
        <v>3650</v>
      </c>
      <c r="L2298" s="76" t="s">
        <v>411</v>
      </c>
      <c r="M2298" s="76" t="s">
        <v>1419</v>
      </c>
      <c r="N2298" s="76">
        <v>1000</v>
      </c>
      <c r="O2298" s="76">
        <v>690</v>
      </c>
      <c r="P2298" s="78">
        <v>0.31</v>
      </c>
    </row>
    <row r="2299" spans="7:16" x14ac:dyDescent="0.3">
      <c r="G2299" t="s">
        <v>4059</v>
      </c>
      <c r="H2299" s="76" t="s">
        <v>399</v>
      </c>
      <c r="I2299" s="76" t="s">
        <v>400</v>
      </c>
      <c r="J2299" s="76" t="s">
        <v>372</v>
      </c>
      <c r="K2299" s="76" t="s">
        <v>2486</v>
      </c>
      <c r="L2299" s="76" t="s">
        <v>391</v>
      </c>
      <c r="M2299" s="76" t="s">
        <v>815</v>
      </c>
      <c r="N2299" s="76">
        <v>30</v>
      </c>
      <c r="O2299" s="76">
        <v>27</v>
      </c>
      <c r="P2299" s="78">
        <v>0.1</v>
      </c>
    </row>
    <row r="2300" spans="7:16" x14ac:dyDescent="0.3">
      <c r="G2300" t="s">
        <v>4060</v>
      </c>
      <c r="H2300" s="76" t="s">
        <v>551</v>
      </c>
      <c r="I2300" s="76" t="s">
        <v>552</v>
      </c>
      <c r="J2300" s="76" t="s">
        <v>360</v>
      </c>
      <c r="K2300" s="77">
        <v>41771</v>
      </c>
      <c r="L2300" s="76" t="s">
        <v>483</v>
      </c>
      <c r="M2300" s="76" t="s">
        <v>1125</v>
      </c>
      <c r="N2300" s="76">
        <v>50</v>
      </c>
      <c r="O2300" s="76">
        <v>38</v>
      </c>
      <c r="P2300" s="78">
        <v>0.24</v>
      </c>
    </row>
    <row r="2301" spans="7:16" x14ac:dyDescent="0.3">
      <c r="G2301" t="s">
        <v>4061</v>
      </c>
      <c r="H2301" s="76" t="s">
        <v>547</v>
      </c>
      <c r="I2301" s="76" t="s">
        <v>548</v>
      </c>
      <c r="J2301" s="76" t="s">
        <v>360</v>
      </c>
      <c r="K2301" s="76" t="s">
        <v>1238</v>
      </c>
      <c r="L2301" s="76" t="s">
        <v>396</v>
      </c>
      <c r="M2301" s="76" t="s">
        <v>898</v>
      </c>
      <c r="N2301" s="76">
        <v>500</v>
      </c>
      <c r="O2301" s="76">
        <v>415</v>
      </c>
      <c r="P2301" s="78">
        <v>0.17</v>
      </c>
    </row>
    <row r="2302" spans="7:16" x14ac:dyDescent="0.3">
      <c r="G2302" t="s">
        <v>4062</v>
      </c>
      <c r="H2302" s="76" t="s">
        <v>566</v>
      </c>
      <c r="I2302" s="76" t="s">
        <v>567</v>
      </c>
      <c r="J2302" s="76" t="s">
        <v>360</v>
      </c>
      <c r="K2302" s="77">
        <v>41731</v>
      </c>
      <c r="L2302" s="76" t="s">
        <v>385</v>
      </c>
      <c r="M2302" s="76" t="s">
        <v>1378</v>
      </c>
      <c r="N2302" s="76">
        <v>50</v>
      </c>
      <c r="O2302" s="76">
        <v>43</v>
      </c>
      <c r="P2302" s="78">
        <v>0.14000000000000001</v>
      </c>
    </row>
    <row r="2303" spans="7:16" x14ac:dyDescent="0.3">
      <c r="G2303" t="s">
        <v>4063</v>
      </c>
      <c r="H2303" s="76" t="s">
        <v>485</v>
      </c>
      <c r="I2303" s="76" t="s">
        <v>389</v>
      </c>
      <c r="J2303" s="76" t="s">
        <v>384</v>
      </c>
      <c r="K2303" s="76" t="s">
        <v>2884</v>
      </c>
      <c r="L2303" s="76" t="s">
        <v>396</v>
      </c>
      <c r="M2303" s="76" t="s">
        <v>1467</v>
      </c>
      <c r="N2303" s="76">
        <v>500</v>
      </c>
      <c r="O2303" s="76">
        <v>435</v>
      </c>
      <c r="P2303" s="78">
        <v>0.13</v>
      </c>
    </row>
    <row r="2304" spans="7:16" x14ac:dyDescent="0.3">
      <c r="G2304" t="s">
        <v>4064</v>
      </c>
      <c r="H2304" s="76" t="s">
        <v>403</v>
      </c>
      <c r="I2304" s="76" t="s">
        <v>404</v>
      </c>
      <c r="J2304" s="76" t="s">
        <v>360</v>
      </c>
      <c r="K2304" s="76" t="s">
        <v>1616</v>
      </c>
      <c r="L2304" s="76" t="s">
        <v>379</v>
      </c>
      <c r="M2304" s="76" t="s">
        <v>1403</v>
      </c>
      <c r="N2304" s="76">
        <v>150</v>
      </c>
      <c r="O2304" s="76">
        <v>149</v>
      </c>
      <c r="P2304" s="78">
        <v>6.7000000000000002E-3</v>
      </c>
    </row>
    <row r="2305" spans="7:16" x14ac:dyDescent="0.3">
      <c r="G2305" t="s">
        <v>4065</v>
      </c>
      <c r="H2305" s="76" t="s">
        <v>421</v>
      </c>
      <c r="I2305" s="76" t="s">
        <v>422</v>
      </c>
      <c r="J2305" s="76" t="s">
        <v>384</v>
      </c>
      <c r="K2305" s="77">
        <v>41735</v>
      </c>
      <c r="L2305" s="76" t="s">
        <v>373</v>
      </c>
      <c r="M2305" s="76" t="s">
        <v>752</v>
      </c>
      <c r="N2305" s="76">
        <v>700</v>
      </c>
      <c r="O2305" s="76">
        <v>644</v>
      </c>
      <c r="P2305" s="78">
        <v>0.08</v>
      </c>
    </row>
    <row r="2306" spans="7:16" x14ac:dyDescent="0.3">
      <c r="G2306" t="s">
        <v>4066</v>
      </c>
      <c r="H2306" s="76" t="s">
        <v>845</v>
      </c>
      <c r="I2306" s="76" t="s">
        <v>846</v>
      </c>
      <c r="J2306" s="76" t="s">
        <v>360</v>
      </c>
      <c r="K2306" s="76" t="s">
        <v>2788</v>
      </c>
      <c r="L2306" s="76" t="s">
        <v>461</v>
      </c>
      <c r="M2306" s="76" t="s">
        <v>2025</v>
      </c>
      <c r="N2306" s="76">
        <v>70</v>
      </c>
      <c r="O2306" s="76">
        <v>67</v>
      </c>
      <c r="P2306" s="78">
        <v>4.2900000000000001E-2</v>
      </c>
    </row>
    <row r="2307" spans="7:16" x14ac:dyDescent="0.3">
      <c r="G2307" t="s">
        <v>4067</v>
      </c>
      <c r="H2307" s="76" t="s">
        <v>3165</v>
      </c>
      <c r="I2307" s="76" t="s">
        <v>365</v>
      </c>
      <c r="J2307" s="76" t="s">
        <v>366</v>
      </c>
      <c r="K2307" s="76" t="s">
        <v>4068</v>
      </c>
      <c r="L2307" s="76" t="s">
        <v>475</v>
      </c>
      <c r="M2307" s="76" t="s">
        <v>4069</v>
      </c>
      <c r="N2307" s="76">
        <v>250</v>
      </c>
      <c r="O2307" s="76">
        <v>198</v>
      </c>
      <c r="P2307" s="78">
        <v>0.20799999999999999</v>
      </c>
    </row>
    <row r="2308" spans="7:16" x14ac:dyDescent="0.3">
      <c r="G2308" t="s">
        <v>4070</v>
      </c>
      <c r="H2308" s="76" t="s">
        <v>409</v>
      </c>
      <c r="I2308" s="76" t="s">
        <v>410</v>
      </c>
      <c r="J2308" s="76" t="s">
        <v>360</v>
      </c>
      <c r="K2308" s="76" t="s">
        <v>4071</v>
      </c>
      <c r="L2308" s="76" t="s">
        <v>391</v>
      </c>
      <c r="M2308" s="76" t="s">
        <v>1356</v>
      </c>
      <c r="N2308" s="76">
        <v>30</v>
      </c>
      <c r="O2308" s="76">
        <v>30</v>
      </c>
      <c r="P2308" s="78">
        <v>0</v>
      </c>
    </row>
    <row r="2309" spans="7:16" x14ac:dyDescent="0.3">
      <c r="G2309" t="s">
        <v>4072</v>
      </c>
      <c r="H2309" s="76" t="s">
        <v>3191</v>
      </c>
      <c r="I2309" s="76" t="s">
        <v>465</v>
      </c>
      <c r="J2309" s="76" t="s">
        <v>366</v>
      </c>
      <c r="K2309" s="77">
        <v>41852</v>
      </c>
      <c r="L2309" s="76" t="s">
        <v>396</v>
      </c>
      <c r="M2309" s="76" t="s">
        <v>4073</v>
      </c>
      <c r="N2309" s="76">
        <v>500</v>
      </c>
      <c r="O2309" s="76">
        <v>360</v>
      </c>
      <c r="P2309" s="78">
        <v>0.28000000000000003</v>
      </c>
    </row>
    <row r="2310" spans="7:16" x14ac:dyDescent="0.3">
      <c r="G2310" t="s">
        <v>4074</v>
      </c>
      <c r="H2310" s="76" t="s">
        <v>566</v>
      </c>
      <c r="I2310" s="76" t="s">
        <v>567</v>
      </c>
      <c r="J2310" s="76" t="s">
        <v>360</v>
      </c>
      <c r="K2310" s="77">
        <v>43258</v>
      </c>
      <c r="L2310" s="76" t="s">
        <v>483</v>
      </c>
      <c r="M2310" s="76" t="s">
        <v>569</v>
      </c>
      <c r="N2310" s="76">
        <v>50</v>
      </c>
      <c r="O2310" s="76">
        <v>44</v>
      </c>
      <c r="P2310" s="78">
        <v>0.12</v>
      </c>
    </row>
    <row r="2311" spans="7:16" x14ac:dyDescent="0.3">
      <c r="G2311" t="s">
        <v>4075</v>
      </c>
      <c r="H2311" s="76" t="s">
        <v>444</v>
      </c>
      <c r="I2311" s="76" t="s">
        <v>445</v>
      </c>
      <c r="J2311" s="76" t="s">
        <v>384</v>
      </c>
      <c r="K2311" s="76" t="s">
        <v>2784</v>
      </c>
      <c r="L2311" s="76" t="s">
        <v>405</v>
      </c>
      <c r="M2311" s="76" t="s">
        <v>2106</v>
      </c>
      <c r="N2311" s="76">
        <v>800</v>
      </c>
      <c r="O2311" s="76">
        <v>744</v>
      </c>
      <c r="P2311" s="78">
        <v>7.0000000000000007E-2</v>
      </c>
    </row>
    <row r="2312" spans="7:16" x14ac:dyDescent="0.3">
      <c r="G2312" t="s">
        <v>4076</v>
      </c>
      <c r="H2312" s="76" t="s">
        <v>547</v>
      </c>
      <c r="I2312" s="76" t="s">
        <v>548</v>
      </c>
      <c r="J2312" s="76" t="s">
        <v>360</v>
      </c>
      <c r="K2312" s="77">
        <v>42985</v>
      </c>
      <c r="L2312" s="76" t="s">
        <v>411</v>
      </c>
      <c r="M2312" s="76" t="s">
        <v>2209</v>
      </c>
      <c r="N2312" s="76">
        <v>1000</v>
      </c>
      <c r="O2312" s="76">
        <v>810</v>
      </c>
      <c r="P2312" s="78">
        <v>0.19</v>
      </c>
    </row>
    <row r="2313" spans="7:16" x14ac:dyDescent="0.3">
      <c r="G2313" t="s">
        <v>4077</v>
      </c>
      <c r="H2313" s="76" t="s">
        <v>3165</v>
      </c>
      <c r="I2313" s="76" t="s">
        <v>365</v>
      </c>
      <c r="J2313" s="76" t="s">
        <v>366</v>
      </c>
      <c r="K2313" s="76" t="s">
        <v>2965</v>
      </c>
      <c r="L2313" s="76" t="s">
        <v>391</v>
      </c>
      <c r="M2313" s="76" t="s">
        <v>3251</v>
      </c>
      <c r="N2313" s="76">
        <v>30</v>
      </c>
      <c r="O2313" s="76">
        <v>28</v>
      </c>
      <c r="P2313" s="78">
        <v>6.6699999999999995E-2</v>
      </c>
    </row>
    <row r="2314" spans="7:16" x14ac:dyDescent="0.3">
      <c r="G2314" t="s">
        <v>4078</v>
      </c>
      <c r="H2314" s="76" t="s">
        <v>438</v>
      </c>
      <c r="I2314" s="76" t="s">
        <v>439</v>
      </c>
      <c r="J2314" s="76" t="s">
        <v>360</v>
      </c>
      <c r="K2314" s="77">
        <v>42223</v>
      </c>
      <c r="L2314" s="76" t="s">
        <v>361</v>
      </c>
      <c r="M2314" s="76" t="s">
        <v>798</v>
      </c>
      <c r="N2314" s="76">
        <v>80</v>
      </c>
      <c r="O2314" s="76">
        <v>70</v>
      </c>
      <c r="P2314" s="78">
        <v>0.125</v>
      </c>
    </row>
    <row r="2315" spans="7:16" x14ac:dyDescent="0.3">
      <c r="G2315" t="s">
        <v>4079</v>
      </c>
      <c r="H2315" s="76" t="s">
        <v>464</v>
      </c>
      <c r="I2315" s="76" t="s">
        <v>465</v>
      </c>
      <c r="J2315" s="76" t="s">
        <v>366</v>
      </c>
      <c r="K2315" s="76" t="s">
        <v>4080</v>
      </c>
      <c r="L2315" s="76" t="s">
        <v>424</v>
      </c>
      <c r="M2315" s="76" t="s">
        <v>1021</v>
      </c>
      <c r="N2315" s="76">
        <v>500</v>
      </c>
      <c r="O2315" s="76">
        <v>495</v>
      </c>
      <c r="P2315" s="78">
        <v>0.01</v>
      </c>
    </row>
    <row r="2316" spans="7:16" x14ac:dyDescent="0.3">
      <c r="G2316" t="s">
        <v>4081</v>
      </c>
      <c r="H2316" s="76" t="s">
        <v>675</v>
      </c>
      <c r="I2316" s="76" t="s">
        <v>676</v>
      </c>
      <c r="J2316" s="76" t="s">
        <v>384</v>
      </c>
      <c r="K2316" s="77">
        <v>41945</v>
      </c>
      <c r="L2316" s="76" t="s">
        <v>361</v>
      </c>
      <c r="M2316" s="76" t="s">
        <v>764</v>
      </c>
      <c r="N2316" s="76">
        <v>80</v>
      </c>
      <c r="O2316" s="76">
        <v>73</v>
      </c>
      <c r="P2316" s="78">
        <v>8.7499999999999994E-2</v>
      </c>
    </row>
    <row r="2317" spans="7:16" x14ac:dyDescent="0.3">
      <c r="G2317" t="s">
        <v>4082</v>
      </c>
      <c r="H2317" s="76" t="s">
        <v>524</v>
      </c>
      <c r="I2317" s="76" t="s">
        <v>465</v>
      </c>
      <c r="J2317" s="76" t="s">
        <v>366</v>
      </c>
      <c r="K2317" s="76" t="s">
        <v>466</v>
      </c>
      <c r="L2317" s="76" t="s">
        <v>373</v>
      </c>
      <c r="M2317" s="76" t="s">
        <v>4083</v>
      </c>
      <c r="N2317" s="76">
        <v>700</v>
      </c>
      <c r="O2317" s="76">
        <v>602</v>
      </c>
      <c r="P2317" s="78">
        <v>0.14000000000000001</v>
      </c>
    </row>
    <row r="2318" spans="7:16" x14ac:dyDescent="0.3">
      <c r="G2318" t="s">
        <v>4084</v>
      </c>
      <c r="H2318" s="76" t="s">
        <v>547</v>
      </c>
      <c r="I2318" s="76" t="s">
        <v>548</v>
      </c>
      <c r="J2318" s="76" t="s">
        <v>360</v>
      </c>
      <c r="K2318" s="76" t="s">
        <v>3255</v>
      </c>
      <c r="L2318" s="76" t="s">
        <v>475</v>
      </c>
      <c r="M2318" s="76" t="s">
        <v>680</v>
      </c>
      <c r="N2318" s="76">
        <v>250</v>
      </c>
      <c r="O2318" s="76">
        <v>50</v>
      </c>
      <c r="P2318" s="78">
        <v>0.8</v>
      </c>
    </row>
    <row r="2319" spans="7:16" x14ac:dyDescent="0.3">
      <c r="G2319" t="s">
        <v>4085</v>
      </c>
      <c r="H2319" s="76" t="s">
        <v>700</v>
      </c>
      <c r="I2319" s="76" t="s">
        <v>465</v>
      </c>
      <c r="J2319" s="76" t="s">
        <v>366</v>
      </c>
      <c r="K2319" s="76" t="s">
        <v>3762</v>
      </c>
      <c r="L2319" s="76" t="s">
        <v>373</v>
      </c>
      <c r="M2319" s="76" t="s">
        <v>2371</v>
      </c>
      <c r="N2319" s="76">
        <v>700</v>
      </c>
      <c r="O2319" s="76">
        <v>700</v>
      </c>
      <c r="P2319" s="78">
        <v>0</v>
      </c>
    </row>
    <row r="2320" spans="7:16" x14ac:dyDescent="0.3">
      <c r="G2320" t="s">
        <v>4086</v>
      </c>
      <c r="H2320" s="76" t="s">
        <v>891</v>
      </c>
      <c r="I2320" s="76" t="s">
        <v>892</v>
      </c>
      <c r="J2320" s="76" t="s">
        <v>372</v>
      </c>
      <c r="K2320" s="76" t="s">
        <v>4087</v>
      </c>
      <c r="L2320" s="76" t="s">
        <v>361</v>
      </c>
      <c r="M2320" s="76" t="s">
        <v>1421</v>
      </c>
      <c r="N2320" s="76">
        <v>80</v>
      </c>
      <c r="O2320" s="76">
        <v>58</v>
      </c>
      <c r="P2320" s="78">
        <v>0.27500000000000002</v>
      </c>
    </row>
    <row r="2321" spans="7:16" x14ac:dyDescent="0.3">
      <c r="G2321" t="s">
        <v>4088</v>
      </c>
      <c r="H2321" s="76" t="s">
        <v>469</v>
      </c>
      <c r="I2321" s="76" t="s">
        <v>435</v>
      </c>
      <c r="J2321" s="76" t="s">
        <v>360</v>
      </c>
      <c r="K2321" s="77">
        <v>41822</v>
      </c>
      <c r="L2321" s="76" t="s">
        <v>391</v>
      </c>
      <c r="M2321" s="76" t="s">
        <v>1128</v>
      </c>
      <c r="N2321" s="76">
        <v>30</v>
      </c>
      <c r="O2321" s="76">
        <v>22</v>
      </c>
      <c r="P2321" s="78">
        <v>0.26669999999999999</v>
      </c>
    </row>
    <row r="2322" spans="7:16" x14ac:dyDescent="0.3">
      <c r="G2322" t="s">
        <v>4089</v>
      </c>
      <c r="H2322" s="76" t="s">
        <v>489</v>
      </c>
      <c r="I2322" s="76" t="s">
        <v>490</v>
      </c>
      <c r="J2322" s="76" t="s">
        <v>360</v>
      </c>
      <c r="K2322" s="76" t="s">
        <v>2003</v>
      </c>
      <c r="L2322" s="76" t="s">
        <v>424</v>
      </c>
      <c r="M2322" s="76" t="s">
        <v>1998</v>
      </c>
      <c r="N2322" s="76">
        <v>500</v>
      </c>
      <c r="O2322" s="76">
        <v>495</v>
      </c>
      <c r="P2322" s="78">
        <v>0.01</v>
      </c>
    </row>
    <row r="2323" spans="7:16" x14ac:dyDescent="0.3">
      <c r="G2323" t="s">
        <v>4090</v>
      </c>
      <c r="H2323" s="76" t="s">
        <v>403</v>
      </c>
      <c r="I2323" s="76" t="s">
        <v>404</v>
      </c>
      <c r="J2323" s="76" t="s">
        <v>360</v>
      </c>
      <c r="K2323" s="77">
        <v>42132</v>
      </c>
      <c r="L2323" s="76" t="s">
        <v>385</v>
      </c>
      <c r="M2323" s="76" t="s">
        <v>851</v>
      </c>
      <c r="N2323" s="76">
        <v>50</v>
      </c>
      <c r="O2323" s="76">
        <v>49</v>
      </c>
      <c r="P2323" s="78">
        <v>0.02</v>
      </c>
    </row>
    <row r="2324" spans="7:16" x14ac:dyDescent="0.3">
      <c r="G2324" t="s">
        <v>4091</v>
      </c>
      <c r="H2324" s="76" t="s">
        <v>497</v>
      </c>
      <c r="I2324" s="76" t="s">
        <v>445</v>
      </c>
      <c r="J2324" s="76" t="s">
        <v>384</v>
      </c>
      <c r="K2324" s="77">
        <v>43040</v>
      </c>
      <c r="L2324" s="76" t="s">
        <v>475</v>
      </c>
      <c r="M2324" s="76" t="s">
        <v>810</v>
      </c>
      <c r="N2324" s="76">
        <v>250</v>
      </c>
      <c r="O2324" s="76">
        <v>230</v>
      </c>
      <c r="P2324" s="78">
        <v>0.08</v>
      </c>
    </row>
    <row r="2325" spans="7:16" x14ac:dyDescent="0.3">
      <c r="G2325" t="s">
        <v>4092</v>
      </c>
      <c r="H2325" s="76" t="s">
        <v>489</v>
      </c>
      <c r="I2325" s="76" t="s">
        <v>490</v>
      </c>
      <c r="J2325" s="76" t="s">
        <v>360</v>
      </c>
      <c r="K2325" s="77">
        <v>42862</v>
      </c>
      <c r="L2325" s="76" t="s">
        <v>361</v>
      </c>
      <c r="M2325" s="76" t="s">
        <v>627</v>
      </c>
      <c r="N2325" s="76">
        <v>80</v>
      </c>
      <c r="O2325" s="76">
        <v>73</v>
      </c>
      <c r="P2325" s="78">
        <v>8.7499999999999994E-2</v>
      </c>
    </row>
    <row r="2326" spans="7:16" x14ac:dyDescent="0.3">
      <c r="G2326" t="s">
        <v>4093</v>
      </c>
      <c r="H2326" s="76" t="s">
        <v>611</v>
      </c>
      <c r="I2326" s="76" t="s">
        <v>389</v>
      </c>
      <c r="J2326" s="76" t="s">
        <v>384</v>
      </c>
      <c r="K2326" s="77">
        <v>43040</v>
      </c>
      <c r="L2326" s="76" t="s">
        <v>396</v>
      </c>
      <c r="M2326" s="76" t="s">
        <v>613</v>
      </c>
      <c r="N2326" s="76">
        <v>500</v>
      </c>
      <c r="O2326" s="76">
        <v>475</v>
      </c>
      <c r="P2326" s="78">
        <v>0.05</v>
      </c>
    </row>
    <row r="2327" spans="7:16" x14ac:dyDescent="0.3">
      <c r="G2327" t="s">
        <v>4094</v>
      </c>
      <c r="H2327" s="76" t="s">
        <v>528</v>
      </c>
      <c r="I2327" s="76" t="s">
        <v>465</v>
      </c>
      <c r="J2327" s="76" t="s">
        <v>366</v>
      </c>
      <c r="K2327" s="77">
        <v>43102</v>
      </c>
      <c r="L2327" s="76" t="s">
        <v>385</v>
      </c>
      <c r="M2327" s="76" t="s">
        <v>2032</v>
      </c>
      <c r="N2327" s="76">
        <v>50</v>
      </c>
      <c r="O2327" s="76">
        <v>50</v>
      </c>
      <c r="P2327" s="78">
        <v>0</v>
      </c>
    </row>
    <row r="2328" spans="7:16" x14ac:dyDescent="0.3">
      <c r="G2328" t="s">
        <v>4095</v>
      </c>
      <c r="H2328" s="76" t="s">
        <v>560</v>
      </c>
      <c r="I2328" s="76" t="s">
        <v>465</v>
      </c>
      <c r="J2328" s="76" t="s">
        <v>366</v>
      </c>
      <c r="K2328" s="77">
        <v>42921</v>
      </c>
      <c r="L2328" s="76" t="s">
        <v>475</v>
      </c>
      <c r="M2328" s="76" t="s">
        <v>1706</v>
      </c>
      <c r="N2328" s="76">
        <v>250</v>
      </c>
      <c r="O2328" s="76">
        <v>238</v>
      </c>
      <c r="P2328" s="78">
        <v>4.8000000000000001E-2</v>
      </c>
    </row>
    <row r="2329" spans="7:16" x14ac:dyDescent="0.3">
      <c r="G2329" t="s">
        <v>4096</v>
      </c>
      <c r="H2329" s="76" t="s">
        <v>399</v>
      </c>
      <c r="I2329" s="76" t="s">
        <v>400</v>
      </c>
      <c r="J2329" s="76" t="s">
        <v>372</v>
      </c>
      <c r="K2329" s="76" t="s">
        <v>4097</v>
      </c>
      <c r="L2329" s="76" t="s">
        <v>361</v>
      </c>
      <c r="M2329" s="76" t="s">
        <v>815</v>
      </c>
      <c r="N2329" s="76">
        <v>80</v>
      </c>
      <c r="O2329" s="76">
        <v>77</v>
      </c>
      <c r="P2329" s="78">
        <v>3.7499999999999999E-2</v>
      </c>
    </row>
    <row r="2330" spans="7:16" x14ac:dyDescent="0.3">
      <c r="G2330" t="s">
        <v>4098</v>
      </c>
      <c r="H2330" s="76" t="s">
        <v>469</v>
      </c>
      <c r="I2330" s="76" t="s">
        <v>435</v>
      </c>
      <c r="J2330" s="76" t="s">
        <v>360</v>
      </c>
      <c r="K2330" s="76" t="s">
        <v>1579</v>
      </c>
      <c r="L2330" s="76" t="s">
        <v>385</v>
      </c>
      <c r="M2330" s="76" t="s">
        <v>2555</v>
      </c>
      <c r="N2330" s="76">
        <v>50</v>
      </c>
      <c r="O2330" s="76">
        <v>38</v>
      </c>
      <c r="P2330" s="78">
        <v>0.24</v>
      </c>
    </row>
    <row r="2331" spans="7:16" x14ac:dyDescent="0.3">
      <c r="G2331" t="s">
        <v>4099</v>
      </c>
      <c r="H2331" s="76" t="s">
        <v>519</v>
      </c>
      <c r="I2331" s="76" t="s">
        <v>520</v>
      </c>
      <c r="J2331" s="76" t="s">
        <v>360</v>
      </c>
      <c r="K2331" s="77">
        <v>42158</v>
      </c>
      <c r="L2331" s="76" t="s">
        <v>411</v>
      </c>
      <c r="M2331" s="76" t="s">
        <v>1343</v>
      </c>
      <c r="N2331" s="76">
        <v>1000</v>
      </c>
      <c r="O2331" s="76">
        <v>650</v>
      </c>
      <c r="P2331" s="78">
        <v>0.35</v>
      </c>
    </row>
    <row r="2332" spans="7:16" x14ac:dyDescent="0.3">
      <c r="G2332" t="s">
        <v>4100</v>
      </c>
      <c r="H2332" s="76" t="s">
        <v>469</v>
      </c>
      <c r="I2332" s="76" t="s">
        <v>435</v>
      </c>
      <c r="J2332" s="76" t="s">
        <v>360</v>
      </c>
      <c r="K2332" s="77">
        <v>42555</v>
      </c>
      <c r="L2332" s="76" t="s">
        <v>361</v>
      </c>
      <c r="M2332" s="76" t="s">
        <v>1938</v>
      </c>
      <c r="N2332" s="76">
        <v>80</v>
      </c>
      <c r="O2332" s="76">
        <v>79</v>
      </c>
      <c r="P2332" s="78">
        <v>1.2500000000000001E-2</v>
      </c>
    </row>
    <row r="2333" spans="7:16" x14ac:dyDescent="0.3">
      <c r="G2333" t="s">
        <v>4101</v>
      </c>
      <c r="H2333" s="76" t="s">
        <v>845</v>
      </c>
      <c r="I2333" s="76" t="s">
        <v>846</v>
      </c>
      <c r="J2333" s="76" t="s">
        <v>360</v>
      </c>
      <c r="K2333" s="77">
        <v>41700</v>
      </c>
      <c r="L2333" s="76" t="s">
        <v>385</v>
      </c>
      <c r="M2333" s="76" t="s">
        <v>3188</v>
      </c>
      <c r="N2333" s="76">
        <v>50</v>
      </c>
      <c r="O2333" s="76">
        <v>46</v>
      </c>
      <c r="P2333" s="78">
        <v>0.08</v>
      </c>
    </row>
    <row r="2334" spans="7:16" x14ac:dyDescent="0.3">
      <c r="G2334" t="s">
        <v>4102</v>
      </c>
      <c r="H2334" s="76" t="s">
        <v>551</v>
      </c>
      <c r="I2334" s="76" t="s">
        <v>552</v>
      </c>
      <c r="J2334" s="76" t="s">
        <v>360</v>
      </c>
      <c r="K2334" s="77">
        <v>42956</v>
      </c>
      <c r="L2334" s="76" t="s">
        <v>373</v>
      </c>
      <c r="M2334" s="76" t="s">
        <v>2389</v>
      </c>
      <c r="N2334" s="76">
        <v>700</v>
      </c>
      <c r="O2334" s="76">
        <v>644</v>
      </c>
      <c r="P2334" s="78">
        <v>0.08</v>
      </c>
    </row>
    <row r="2335" spans="7:16" x14ac:dyDescent="0.3">
      <c r="G2335" t="s">
        <v>4103</v>
      </c>
      <c r="H2335" s="76" t="s">
        <v>376</v>
      </c>
      <c r="I2335" s="76" t="s">
        <v>377</v>
      </c>
      <c r="J2335" s="76" t="s">
        <v>360</v>
      </c>
      <c r="K2335" s="77">
        <v>42283</v>
      </c>
      <c r="L2335" s="76" t="s">
        <v>373</v>
      </c>
      <c r="M2335" s="76" t="s">
        <v>841</v>
      </c>
      <c r="N2335" s="76">
        <v>700</v>
      </c>
      <c r="O2335" s="76">
        <v>686</v>
      </c>
      <c r="P2335" s="78">
        <v>0.02</v>
      </c>
    </row>
    <row r="2336" spans="7:16" x14ac:dyDescent="0.3">
      <c r="G2336" t="s">
        <v>4104</v>
      </c>
      <c r="H2336" s="76" t="s">
        <v>656</v>
      </c>
      <c r="I2336" s="76" t="s">
        <v>657</v>
      </c>
      <c r="J2336" s="76" t="s">
        <v>360</v>
      </c>
      <c r="K2336" s="76" t="s">
        <v>2003</v>
      </c>
      <c r="L2336" s="76" t="s">
        <v>361</v>
      </c>
      <c r="M2336" s="76" t="s">
        <v>1383</v>
      </c>
      <c r="N2336" s="76">
        <v>80</v>
      </c>
      <c r="O2336" s="76">
        <v>78</v>
      </c>
      <c r="P2336" s="78">
        <v>2.5000000000000001E-2</v>
      </c>
    </row>
    <row r="2337" spans="7:16" x14ac:dyDescent="0.3">
      <c r="G2337" t="s">
        <v>4105</v>
      </c>
      <c r="H2337" s="76" t="s">
        <v>388</v>
      </c>
      <c r="I2337" s="76" t="s">
        <v>389</v>
      </c>
      <c r="J2337" s="76" t="s">
        <v>384</v>
      </c>
      <c r="K2337" s="76" t="s">
        <v>1782</v>
      </c>
      <c r="L2337" s="76" t="s">
        <v>361</v>
      </c>
      <c r="M2337" s="76" t="s">
        <v>2030</v>
      </c>
      <c r="N2337" s="76">
        <v>80</v>
      </c>
      <c r="O2337" s="76">
        <v>78</v>
      </c>
      <c r="P2337" s="78">
        <v>2.5000000000000001E-2</v>
      </c>
    </row>
    <row r="2338" spans="7:16" x14ac:dyDescent="0.3">
      <c r="G2338" t="s">
        <v>4106</v>
      </c>
      <c r="H2338" s="76" t="s">
        <v>376</v>
      </c>
      <c r="I2338" s="76" t="s">
        <v>377</v>
      </c>
      <c r="J2338" s="76" t="s">
        <v>360</v>
      </c>
      <c r="K2338" s="76" t="s">
        <v>3750</v>
      </c>
      <c r="L2338" s="76" t="s">
        <v>405</v>
      </c>
      <c r="M2338" s="76" t="s">
        <v>877</v>
      </c>
      <c r="N2338" s="76">
        <v>800</v>
      </c>
      <c r="O2338" s="76">
        <v>480</v>
      </c>
      <c r="P2338" s="78">
        <v>0.4</v>
      </c>
    </row>
    <row r="2339" spans="7:16" x14ac:dyDescent="0.3">
      <c r="G2339" t="s">
        <v>4107</v>
      </c>
      <c r="H2339" s="76" t="s">
        <v>438</v>
      </c>
      <c r="I2339" s="76" t="s">
        <v>439</v>
      </c>
      <c r="J2339" s="76" t="s">
        <v>360</v>
      </c>
      <c r="K2339" s="77">
        <v>42561</v>
      </c>
      <c r="L2339" s="76" t="s">
        <v>461</v>
      </c>
      <c r="M2339" s="76" t="s">
        <v>542</v>
      </c>
      <c r="N2339" s="76">
        <v>70</v>
      </c>
      <c r="O2339" s="76">
        <v>64</v>
      </c>
      <c r="P2339" s="78">
        <v>8.5699999999999998E-2</v>
      </c>
    </row>
    <row r="2340" spans="7:16" x14ac:dyDescent="0.3">
      <c r="G2340" t="s">
        <v>4108</v>
      </c>
      <c r="H2340" s="76" t="s">
        <v>611</v>
      </c>
      <c r="I2340" s="76" t="s">
        <v>389</v>
      </c>
      <c r="J2340" s="76" t="s">
        <v>384</v>
      </c>
      <c r="K2340" s="77">
        <v>42775</v>
      </c>
      <c r="L2340" s="76" t="s">
        <v>361</v>
      </c>
      <c r="M2340" s="76" t="s">
        <v>1883</v>
      </c>
      <c r="N2340" s="76">
        <v>80</v>
      </c>
      <c r="O2340" s="76">
        <v>77</v>
      </c>
      <c r="P2340" s="78">
        <v>3.7499999999999999E-2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2AE02-FECB-42A1-91CD-0AC0C7CB38AD}">
  <dimension ref="A1:D18"/>
  <sheetViews>
    <sheetView workbookViewId="0">
      <selection activeCell="B19" sqref="B19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2" x14ac:dyDescent="0.3">
      <c r="A1" s="6" t="s">
        <v>4109</v>
      </c>
    </row>
    <row r="2" spans="1:2" x14ac:dyDescent="0.3">
      <c r="A2" s="6" t="s">
        <v>4110</v>
      </c>
    </row>
    <row r="4" spans="1:2" x14ac:dyDescent="0.3">
      <c r="A4" s="38"/>
    </row>
    <row r="5" spans="1:2" x14ac:dyDescent="0.3">
      <c r="A5" s="38" t="s">
        <v>23</v>
      </c>
      <c r="B5" s="38" t="s">
        <v>4111</v>
      </c>
    </row>
    <row r="6" spans="1:2" x14ac:dyDescent="0.3">
      <c r="A6" s="6" t="s">
        <v>4112</v>
      </c>
      <c r="B6" s="79">
        <v>759</v>
      </c>
    </row>
    <row r="7" spans="1:2" x14ac:dyDescent="0.3">
      <c r="A7" s="6" t="s">
        <v>4113</v>
      </c>
      <c r="B7" s="79">
        <v>200</v>
      </c>
    </row>
    <row r="8" spans="1:2" x14ac:dyDescent="0.3">
      <c r="A8" s="6" t="s">
        <v>4114</v>
      </c>
      <c r="B8" s="79">
        <v>42</v>
      </c>
    </row>
    <row r="9" spans="1:2" x14ac:dyDescent="0.3">
      <c r="A9" s="6" t="s">
        <v>4115</v>
      </c>
      <c r="B9" s="79">
        <v>423</v>
      </c>
    </row>
    <row r="10" spans="1:2" x14ac:dyDescent="0.3">
      <c r="A10" s="6" t="s">
        <v>4116</v>
      </c>
      <c r="B10" s="79">
        <v>200</v>
      </c>
    </row>
    <row r="11" spans="1:2" x14ac:dyDescent="0.3">
      <c r="A11" s="6" t="s">
        <v>4117</v>
      </c>
      <c r="B11" s="79">
        <v>50</v>
      </c>
    </row>
    <row r="12" spans="1:2" x14ac:dyDescent="0.3">
      <c r="A12" s="6" t="s">
        <v>4118</v>
      </c>
      <c r="B12" s="79">
        <v>700</v>
      </c>
    </row>
    <row r="13" spans="1:2" x14ac:dyDescent="0.3">
      <c r="A13" s="6" t="s">
        <v>4119</v>
      </c>
      <c r="B13" s="79">
        <v>450</v>
      </c>
    </row>
    <row r="14" spans="1:2" x14ac:dyDescent="0.3">
      <c r="A14" s="6" t="s">
        <v>4120</v>
      </c>
      <c r="B14" s="79">
        <v>605</v>
      </c>
    </row>
    <row r="15" spans="1:2" x14ac:dyDescent="0.3">
      <c r="A15" s="6" t="s">
        <v>4121</v>
      </c>
      <c r="B15" s="79">
        <v>240</v>
      </c>
    </row>
    <row r="16" spans="1:2" x14ac:dyDescent="0.3">
      <c r="A16" s="6" t="s">
        <v>4122</v>
      </c>
      <c r="B16" s="79">
        <v>685</v>
      </c>
    </row>
    <row r="17" spans="1:4" ht="15" thickBot="1" x14ac:dyDescent="0.35">
      <c r="A17" s="6" t="s">
        <v>4123</v>
      </c>
      <c r="B17" s="79">
        <v>295</v>
      </c>
    </row>
    <row r="18" spans="1:4" ht="15" thickBot="1" x14ac:dyDescent="0.35">
      <c r="A18" s="6" t="s">
        <v>4124</v>
      </c>
      <c r="B18" s="80">
        <f>SUM(B6:B17)</f>
        <v>4649</v>
      </c>
      <c r="C18" s="5" t="s">
        <v>4125</v>
      </c>
      <c r="D18" s="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BBF95-D8E2-435C-A948-FAFA359E295D}">
  <dimension ref="A1:C95"/>
  <sheetViews>
    <sheetView topLeftCell="A85" workbookViewId="0">
      <selection activeCell="H10" sqref="H10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2" x14ac:dyDescent="0.3">
      <c r="A1" s="6" t="s">
        <v>4126</v>
      </c>
    </row>
    <row r="2" spans="1:2" x14ac:dyDescent="0.3">
      <c r="A2" s="6" t="s">
        <v>4127</v>
      </c>
    </row>
    <row r="4" spans="1:2" x14ac:dyDescent="0.3">
      <c r="A4" s="81" t="s">
        <v>351</v>
      </c>
      <c r="B4" s="82" t="s">
        <v>4128</v>
      </c>
    </row>
    <row r="5" spans="1:2" x14ac:dyDescent="0.3">
      <c r="A5" s="83">
        <v>42005</v>
      </c>
      <c r="B5" s="84">
        <v>432.17</v>
      </c>
    </row>
    <row r="6" spans="1:2" x14ac:dyDescent="0.3">
      <c r="A6" s="83">
        <v>42351</v>
      </c>
      <c r="B6" s="84">
        <v>528.5</v>
      </c>
    </row>
    <row r="7" spans="1:2" x14ac:dyDescent="0.3">
      <c r="A7" s="83">
        <v>42007</v>
      </c>
      <c r="B7" s="84">
        <v>810.71</v>
      </c>
    </row>
    <row r="8" spans="1:2" x14ac:dyDescent="0.3">
      <c r="A8" s="83">
        <v>42008</v>
      </c>
      <c r="B8" s="84">
        <v>418.54</v>
      </c>
    </row>
    <row r="9" spans="1:2" x14ac:dyDescent="0.3">
      <c r="A9" s="83">
        <v>42009</v>
      </c>
      <c r="B9" s="84">
        <v>722.22</v>
      </c>
    </row>
    <row r="10" spans="1:2" x14ac:dyDescent="0.3">
      <c r="A10" s="83">
        <v>42010</v>
      </c>
      <c r="B10" s="84">
        <v>460.28</v>
      </c>
    </row>
    <row r="11" spans="1:2" x14ac:dyDescent="0.3">
      <c r="A11" s="83">
        <v>42349</v>
      </c>
      <c r="B11" s="84">
        <v>483.58</v>
      </c>
    </row>
    <row r="12" spans="1:2" x14ac:dyDescent="0.3">
      <c r="A12" s="83">
        <v>42012</v>
      </c>
      <c r="B12" s="84">
        <v>114.53</v>
      </c>
    </row>
    <row r="13" spans="1:2" x14ac:dyDescent="0.3">
      <c r="A13" s="83">
        <v>42013</v>
      </c>
      <c r="B13" s="84">
        <v>609.12</v>
      </c>
    </row>
    <row r="14" spans="1:2" x14ac:dyDescent="0.3">
      <c r="A14" s="83">
        <v>42014</v>
      </c>
      <c r="B14" s="84">
        <v>1197.9000000000001</v>
      </c>
    </row>
    <row r="15" spans="1:2" x14ac:dyDescent="0.3">
      <c r="A15" s="83">
        <v>42015</v>
      </c>
      <c r="B15" s="84">
        <v>228.89</v>
      </c>
    </row>
    <row r="16" spans="1:2" x14ac:dyDescent="0.3">
      <c r="A16" s="83">
        <v>42016</v>
      </c>
      <c r="B16" s="84">
        <v>1380.07</v>
      </c>
    </row>
    <row r="17" spans="1:2" x14ac:dyDescent="0.3">
      <c r="A17" s="83">
        <v>42017</v>
      </c>
      <c r="B17" s="84">
        <v>1026.96</v>
      </c>
    </row>
    <row r="18" spans="1:2" x14ac:dyDescent="0.3">
      <c r="A18" s="83">
        <v>42018</v>
      </c>
      <c r="B18" s="84">
        <v>760.24</v>
      </c>
    </row>
    <row r="19" spans="1:2" x14ac:dyDescent="0.3">
      <c r="A19" s="83">
        <v>42019</v>
      </c>
      <c r="B19" s="84">
        <v>414.11</v>
      </c>
    </row>
    <row r="20" spans="1:2" x14ac:dyDescent="0.3">
      <c r="A20" s="83">
        <v>42020</v>
      </c>
      <c r="B20" s="84">
        <v>1728.81</v>
      </c>
    </row>
    <row r="21" spans="1:2" x14ac:dyDescent="0.3">
      <c r="A21" s="83">
        <v>42021</v>
      </c>
      <c r="B21" s="84">
        <v>276.06</v>
      </c>
    </row>
    <row r="22" spans="1:2" x14ac:dyDescent="0.3">
      <c r="A22" s="83">
        <v>42022</v>
      </c>
      <c r="B22" s="84">
        <v>462.22</v>
      </c>
    </row>
    <row r="23" spans="1:2" x14ac:dyDescent="0.3">
      <c r="A23" s="83">
        <v>42023</v>
      </c>
      <c r="B23" s="84">
        <v>1281.0999999999999</v>
      </c>
    </row>
    <row r="24" spans="1:2" x14ac:dyDescent="0.3">
      <c r="A24" s="83">
        <v>42024</v>
      </c>
      <c r="B24" s="84">
        <v>1113.7</v>
      </c>
    </row>
    <row r="25" spans="1:2" x14ac:dyDescent="0.3">
      <c r="A25" s="83">
        <v>42025</v>
      </c>
      <c r="B25" s="84">
        <v>594.09</v>
      </c>
    </row>
    <row r="26" spans="1:2" x14ac:dyDescent="0.3">
      <c r="A26" s="83">
        <v>42026</v>
      </c>
      <c r="B26" s="84">
        <v>432.67</v>
      </c>
    </row>
    <row r="27" spans="1:2" x14ac:dyDescent="0.3">
      <c r="A27" s="83">
        <v>42027</v>
      </c>
      <c r="B27" s="84">
        <v>874.45</v>
      </c>
    </row>
    <row r="28" spans="1:2" x14ac:dyDescent="0.3">
      <c r="A28" s="83">
        <v>42028</v>
      </c>
      <c r="B28" s="84">
        <v>880.38</v>
      </c>
    </row>
    <row r="29" spans="1:2" x14ac:dyDescent="0.3">
      <c r="A29" s="83">
        <v>42029</v>
      </c>
      <c r="B29" s="84">
        <v>798.53</v>
      </c>
    </row>
    <row r="30" spans="1:2" x14ac:dyDescent="0.3">
      <c r="A30" s="83">
        <v>42318</v>
      </c>
      <c r="B30" s="84">
        <v>572.41999999999996</v>
      </c>
    </row>
    <row r="31" spans="1:2" x14ac:dyDescent="0.3">
      <c r="A31" s="83">
        <v>42031</v>
      </c>
      <c r="B31" s="84">
        <v>330.61</v>
      </c>
    </row>
    <row r="32" spans="1:2" x14ac:dyDescent="0.3">
      <c r="A32" s="83">
        <v>42032</v>
      </c>
      <c r="B32" s="84">
        <v>567.17999999999995</v>
      </c>
    </row>
    <row r="33" spans="1:2" x14ac:dyDescent="0.3">
      <c r="A33" s="83">
        <v>42033</v>
      </c>
      <c r="B33" s="84">
        <v>1449.21</v>
      </c>
    </row>
    <row r="34" spans="1:2" x14ac:dyDescent="0.3">
      <c r="A34" s="83">
        <v>42034</v>
      </c>
      <c r="B34" s="84">
        <v>459.29</v>
      </c>
    </row>
    <row r="35" spans="1:2" x14ac:dyDescent="0.3">
      <c r="A35" s="83">
        <v>42035</v>
      </c>
      <c r="B35" s="84">
        <v>357.55</v>
      </c>
    </row>
    <row r="36" spans="1:2" x14ac:dyDescent="0.3">
      <c r="A36" s="83">
        <v>42036</v>
      </c>
      <c r="B36" s="84">
        <v>154.34</v>
      </c>
    </row>
    <row r="37" spans="1:2" x14ac:dyDescent="0.3">
      <c r="A37" s="83">
        <v>42037</v>
      </c>
      <c r="B37" s="84">
        <v>152.76</v>
      </c>
    </row>
    <row r="38" spans="1:2" x14ac:dyDescent="0.3">
      <c r="A38" s="83">
        <v>42038</v>
      </c>
      <c r="B38" s="84">
        <v>570.22</v>
      </c>
    </row>
    <row r="39" spans="1:2" x14ac:dyDescent="0.3">
      <c r="A39" s="83">
        <v>42039</v>
      </c>
      <c r="B39" s="84">
        <v>987.62</v>
      </c>
    </row>
    <row r="40" spans="1:2" x14ac:dyDescent="0.3">
      <c r="A40" s="83">
        <v>42040</v>
      </c>
      <c r="B40" s="84">
        <v>1755.71</v>
      </c>
    </row>
    <row r="41" spans="1:2" x14ac:dyDescent="0.3">
      <c r="A41" s="83">
        <v>42041</v>
      </c>
      <c r="B41" s="84">
        <v>378.27</v>
      </c>
    </row>
    <row r="42" spans="1:2" x14ac:dyDescent="0.3">
      <c r="A42" s="83">
        <v>42042</v>
      </c>
      <c r="B42" s="84">
        <v>1323.81</v>
      </c>
    </row>
    <row r="43" spans="1:2" x14ac:dyDescent="0.3">
      <c r="A43" s="83">
        <v>42043</v>
      </c>
      <c r="B43" s="84">
        <v>399.02</v>
      </c>
    </row>
    <row r="44" spans="1:2" x14ac:dyDescent="0.3">
      <c r="A44" s="83">
        <v>42044</v>
      </c>
      <c r="B44" s="84">
        <v>154.94999999999999</v>
      </c>
    </row>
    <row r="45" spans="1:2" x14ac:dyDescent="0.3">
      <c r="A45" s="83">
        <v>42045</v>
      </c>
      <c r="B45" s="84">
        <v>1254.57</v>
      </c>
    </row>
    <row r="46" spans="1:2" x14ac:dyDescent="0.3">
      <c r="A46" s="83">
        <v>42046</v>
      </c>
      <c r="B46" s="84">
        <v>627.32000000000005</v>
      </c>
    </row>
    <row r="47" spans="1:2" x14ac:dyDescent="0.3">
      <c r="A47" s="83">
        <v>42230</v>
      </c>
      <c r="B47" s="84">
        <v>880.6</v>
      </c>
    </row>
    <row r="48" spans="1:2" x14ac:dyDescent="0.3">
      <c r="A48" s="83">
        <v>42048</v>
      </c>
      <c r="B48" s="84">
        <v>1196.03</v>
      </c>
    </row>
    <row r="49" spans="1:2" x14ac:dyDescent="0.3">
      <c r="A49" s="83">
        <v>42049</v>
      </c>
      <c r="B49" s="84">
        <v>782.32</v>
      </c>
    </row>
    <row r="50" spans="1:2" x14ac:dyDescent="0.3">
      <c r="A50" s="83">
        <v>42050</v>
      </c>
      <c r="B50" s="84">
        <v>1323.35</v>
      </c>
    </row>
    <row r="51" spans="1:2" x14ac:dyDescent="0.3">
      <c r="A51" s="83">
        <v>42051</v>
      </c>
      <c r="B51" s="84">
        <v>209.92</v>
      </c>
    </row>
    <row r="52" spans="1:2" x14ac:dyDescent="0.3">
      <c r="A52" s="83">
        <v>42052</v>
      </c>
      <c r="B52" s="84">
        <v>1232.05</v>
      </c>
    </row>
    <row r="53" spans="1:2" x14ac:dyDescent="0.3">
      <c r="A53" s="83">
        <v>42053</v>
      </c>
      <c r="B53" s="84">
        <v>713.28</v>
      </c>
    </row>
    <row r="54" spans="1:2" x14ac:dyDescent="0.3">
      <c r="A54" s="83">
        <v>42054</v>
      </c>
      <c r="B54" s="84">
        <v>1674.82</v>
      </c>
    </row>
    <row r="55" spans="1:2" x14ac:dyDescent="0.3">
      <c r="A55" s="83">
        <v>42055</v>
      </c>
      <c r="B55" s="84">
        <v>1161.25</v>
      </c>
    </row>
    <row r="56" spans="1:2" x14ac:dyDescent="0.3">
      <c r="A56" s="83">
        <v>42056</v>
      </c>
      <c r="B56" s="84">
        <v>897.63</v>
      </c>
    </row>
    <row r="57" spans="1:2" x14ac:dyDescent="0.3">
      <c r="A57" s="83">
        <v>42057</v>
      </c>
      <c r="B57" s="84">
        <v>1647.26</v>
      </c>
    </row>
    <row r="58" spans="1:2" x14ac:dyDescent="0.3">
      <c r="A58" s="83">
        <v>42058</v>
      </c>
      <c r="B58" s="84">
        <v>1121.96</v>
      </c>
    </row>
    <row r="59" spans="1:2" x14ac:dyDescent="0.3">
      <c r="A59" s="83">
        <v>42059</v>
      </c>
      <c r="B59" s="84">
        <v>352.2</v>
      </c>
    </row>
    <row r="60" spans="1:2" x14ac:dyDescent="0.3">
      <c r="A60" s="83">
        <v>42060</v>
      </c>
      <c r="B60" s="84">
        <v>270.77999999999997</v>
      </c>
    </row>
    <row r="61" spans="1:2" x14ac:dyDescent="0.3">
      <c r="A61" s="83">
        <v>42061</v>
      </c>
      <c r="B61" s="84">
        <v>456.41</v>
      </c>
    </row>
    <row r="62" spans="1:2" x14ac:dyDescent="0.3">
      <c r="A62" s="83">
        <v>42062</v>
      </c>
      <c r="B62" s="84">
        <v>441</v>
      </c>
    </row>
    <row r="63" spans="1:2" x14ac:dyDescent="0.3">
      <c r="A63" s="83">
        <v>42063</v>
      </c>
      <c r="B63" s="84">
        <v>252.44</v>
      </c>
    </row>
    <row r="64" spans="1:2" x14ac:dyDescent="0.3">
      <c r="A64" s="83">
        <v>42064</v>
      </c>
      <c r="B64" s="84">
        <v>1298.92</v>
      </c>
    </row>
    <row r="65" spans="1:2" x14ac:dyDescent="0.3">
      <c r="A65" s="83">
        <v>42065</v>
      </c>
      <c r="B65" s="84">
        <v>1178.07</v>
      </c>
    </row>
    <row r="66" spans="1:2" x14ac:dyDescent="0.3">
      <c r="A66" s="83">
        <v>42066</v>
      </c>
      <c r="B66" s="84">
        <v>459.95</v>
      </c>
    </row>
    <row r="67" spans="1:2" x14ac:dyDescent="0.3">
      <c r="A67" s="83">
        <v>42067</v>
      </c>
      <c r="B67" s="84">
        <v>1219.7</v>
      </c>
    </row>
    <row r="68" spans="1:2" x14ac:dyDescent="0.3">
      <c r="A68" s="83">
        <v>42068</v>
      </c>
      <c r="B68" s="84">
        <v>152.24</v>
      </c>
    </row>
    <row r="69" spans="1:2" x14ac:dyDescent="0.3">
      <c r="A69" s="83">
        <v>42069</v>
      </c>
      <c r="B69" s="84">
        <v>770.8</v>
      </c>
    </row>
    <row r="70" spans="1:2" x14ac:dyDescent="0.3">
      <c r="A70" s="83">
        <v>42070</v>
      </c>
      <c r="B70" s="84">
        <v>1357.25</v>
      </c>
    </row>
    <row r="71" spans="1:2" x14ac:dyDescent="0.3">
      <c r="A71" s="83">
        <v>42187</v>
      </c>
      <c r="B71" s="84">
        <v>220.18</v>
      </c>
    </row>
    <row r="72" spans="1:2" x14ac:dyDescent="0.3">
      <c r="A72" s="83">
        <v>42072</v>
      </c>
      <c r="B72" s="84">
        <v>1102.81</v>
      </c>
    </row>
    <row r="73" spans="1:2" x14ac:dyDescent="0.3">
      <c r="A73" s="83">
        <v>42073</v>
      </c>
      <c r="B73" s="84">
        <v>1566.83</v>
      </c>
    </row>
    <row r="74" spans="1:2" x14ac:dyDescent="0.3">
      <c r="A74" s="83">
        <v>42074</v>
      </c>
      <c r="B74" s="84">
        <v>437.92</v>
      </c>
    </row>
    <row r="75" spans="1:2" x14ac:dyDescent="0.3">
      <c r="A75" s="83">
        <v>42075</v>
      </c>
      <c r="B75" s="84">
        <v>1216.1199999999999</v>
      </c>
    </row>
    <row r="76" spans="1:2" x14ac:dyDescent="0.3">
      <c r="A76" s="83">
        <v>42076</v>
      </c>
      <c r="B76" s="84">
        <v>273.10000000000002</v>
      </c>
    </row>
    <row r="77" spans="1:2" x14ac:dyDescent="0.3">
      <c r="A77" s="83">
        <v>42077</v>
      </c>
      <c r="B77" s="84">
        <v>242.26</v>
      </c>
    </row>
    <row r="78" spans="1:2" x14ac:dyDescent="0.3">
      <c r="A78" s="83">
        <v>42078</v>
      </c>
      <c r="B78" s="84">
        <v>1512.6</v>
      </c>
    </row>
    <row r="79" spans="1:2" x14ac:dyDescent="0.3">
      <c r="A79" s="83">
        <v>42079</v>
      </c>
      <c r="B79" s="84">
        <v>783.75</v>
      </c>
    </row>
    <row r="80" spans="1:2" x14ac:dyDescent="0.3">
      <c r="A80" s="83">
        <v>42189</v>
      </c>
      <c r="B80" s="84">
        <v>667.99</v>
      </c>
    </row>
    <row r="81" spans="1:3" x14ac:dyDescent="0.3">
      <c r="A81" s="83">
        <v>42081</v>
      </c>
      <c r="B81" s="84">
        <v>1166.31</v>
      </c>
    </row>
    <row r="82" spans="1:3" x14ac:dyDescent="0.3">
      <c r="A82" s="83">
        <v>42082</v>
      </c>
      <c r="B82" s="84">
        <v>770.18</v>
      </c>
    </row>
    <row r="83" spans="1:3" x14ac:dyDescent="0.3">
      <c r="A83" s="83">
        <v>42083</v>
      </c>
      <c r="B83" s="84">
        <v>132.34</v>
      </c>
    </row>
    <row r="84" spans="1:3" x14ac:dyDescent="0.3">
      <c r="A84" s="83">
        <v>42084</v>
      </c>
      <c r="B84" s="84">
        <v>1188.81</v>
      </c>
    </row>
    <row r="85" spans="1:3" x14ac:dyDescent="0.3">
      <c r="A85" s="83">
        <v>42085</v>
      </c>
      <c r="B85" s="84">
        <v>198.06</v>
      </c>
    </row>
    <row r="86" spans="1:3" x14ac:dyDescent="0.3">
      <c r="A86" s="83">
        <v>42086</v>
      </c>
      <c r="B86" s="84">
        <v>594.16999999999996</v>
      </c>
    </row>
    <row r="87" spans="1:3" x14ac:dyDescent="0.3">
      <c r="A87" s="83">
        <v>42087</v>
      </c>
      <c r="B87" s="84">
        <v>931.09</v>
      </c>
    </row>
    <row r="88" spans="1:3" x14ac:dyDescent="0.3">
      <c r="A88" s="83">
        <v>42088</v>
      </c>
      <c r="B88" s="84">
        <v>299.64</v>
      </c>
    </row>
    <row r="89" spans="1:3" x14ac:dyDescent="0.3">
      <c r="A89" s="83">
        <v>42223</v>
      </c>
      <c r="B89" s="84">
        <v>1701.68</v>
      </c>
    </row>
    <row r="90" spans="1:3" x14ac:dyDescent="0.3">
      <c r="A90" s="83">
        <v>42090</v>
      </c>
      <c r="B90" s="84">
        <v>399.15</v>
      </c>
    </row>
    <row r="91" spans="1:3" x14ac:dyDescent="0.3">
      <c r="A91" s="83">
        <v>42091</v>
      </c>
      <c r="B91" s="84">
        <v>374.81</v>
      </c>
    </row>
    <row r="92" spans="1:3" x14ac:dyDescent="0.3">
      <c r="A92" s="83">
        <v>42092</v>
      </c>
      <c r="B92" s="84">
        <v>462.17</v>
      </c>
    </row>
    <row r="93" spans="1:3" x14ac:dyDescent="0.3">
      <c r="A93" s="83">
        <v>42093</v>
      </c>
      <c r="B93" s="84">
        <v>924.29</v>
      </c>
    </row>
    <row r="94" spans="1:3" x14ac:dyDescent="0.3">
      <c r="A94" s="83">
        <v>42094</v>
      </c>
      <c r="B94" s="84">
        <v>5000.6000000000004</v>
      </c>
    </row>
    <row r="95" spans="1:3" x14ac:dyDescent="0.3">
      <c r="A95" s="85"/>
      <c r="B95" s="86">
        <f>SUM(B5:B94)</f>
        <v>72741.76999999996</v>
      </c>
      <c r="C95" s="5" t="s">
        <v>4125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34495-352E-4A71-9407-12F24EE3DFEC}">
  <dimension ref="A1:F182"/>
  <sheetViews>
    <sheetView workbookViewId="0">
      <selection activeCell="K14" sqref="K14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5">
        <v>1</v>
      </c>
      <c r="B1" s="6" t="s">
        <v>4129</v>
      </c>
    </row>
    <row r="3" spans="1:6" x14ac:dyDescent="0.3">
      <c r="B3" s="5" t="s">
        <v>4130</v>
      </c>
      <c r="C3" s="87" t="s">
        <v>4131</v>
      </c>
      <c r="E3" s="38"/>
    </row>
    <row r="4" spans="1:6" x14ac:dyDescent="0.3">
      <c r="B4" s="6" t="s">
        <v>4132</v>
      </c>
      <c r="C4" s="88">
        <f>SUM(D25:D182)</f>
        <v>99498</v>
      </c>
      <c r="D4" s="89"/>
      <c r="E4" s="6"/>
    </row>
    <row r="6" spans="1:6" x14ac:dyDescent="0.3">
      <c r="B6" s="5" t="s">
        <v>4130</v>
      </c>
      <c r="C6" s="87" t="s">
        <v>4133</v>
      </c>
    </row>
    <row r="7" spans="1:6" x14ac:dyDescent="0.3">
      <c r="B7" s="6" t="s">
        <v>4132</v>
      </c>
      <c r="C7" s="88">
        <f>SUM(E25:E182)</f>
        <v>211409</v>
      </c>
      <c r="D7" s="6"/>
    </row>
    <row r="9" spans="1:6" x14ac:dyDescent="0.3">
      <c r="B9" s="5" t="s">
        <v>4130</v>
      </c>
      <c r="C9" s="87" t="s">
        <v>4134</v>
      </c>
    </row>
    <row r="10" spans="1:6" x14ac:dyDescent="0.3">
      <c r="B10" s="6" t="s">
        <v>4132</v>
      </c>
      <c r="C10" s="88">
        <f>SUM(F25:F182)</f>
        <v>127820</v>
      </c>
      <c r="D10" s="6"/>
    </row>
    <row r="12" spans="1:6" x14ac:dyDescent="0.3">
      <c r="A12" s="5">
        <v>2</v>
      </c>
      <c r="B12" s="90" t="s">
        <v>4135</v>
      </c>
      <c r="C12" s="91"/>
      <c r="D12" s="91"/>
      <c r="E12" s="91"/>
    </row>
    <row r="13" spans="1:6" x14ac:dyDescent="0.3">
      <c r="C13" s="92">
        <f>SUM(D27:F27)</f>
        <v>5124</v>
      </c>
      <c r="D13" s="6"/>
      <c r="E13" s="6"/>
      <c r="F13" s="6"/>
    </row>
    <row r="15" spans="1:6" x14ac:dyDescent="0.3">
      <c r="A15" s="5">
        <v>3</v>
      </c>
      <c r="B15" s="90" t="s">
        <v>4136</v>
      </c>
      <c r="C15" s="91"/>
      <c r="D15" s="91"/>
      <c r="E15" s="91"/>
      <c r="F15" s="91"/>
    </row>
    <row r="16" spans="1:6" x14ac:dyDescent="0.3">
      <c r="C16" s="92">
        <f>SUM(D25:F44)</f>
        <v>89884</v>
      </c>
      <c r="D16" s="6"/>
      <c r="E16" s="93"/>
      <c r="F16" s="6"/>
    </row>
    <row r="17" spans="1:6" x14ac:dyDescent="0.3">
      <c r="E17" s="93"/>
      <c r="F17" s="6"/>
    </row>
    <row r="18" spans="1:6" x14ac:dyDescent="0.3">
      <c r="A18" s="5">
        <v>4</v>
      </c>
      <c r="B18" s="90" t="s">
        <v>4137</v>
      </c>
      <c r="C18" s="91"/>
      <c r="D18" s="91"/>
      <c r="E18" s="91"/>
      <c r="F18" s="91"/>
    </row>
    <row r="19" spans="1:6" x14ac:dyDescent="0.3">
      <c r="B19" s="6" t="s">
        <v>4138</v>
      </c>
      <c r="C19" s="94">
        <f>SUM(D25:D182)</f>
        <v>99498</v>
      </c>
      <c r="D19" s="6" t="s">
        <v>4139</v>
      </c>
      <c r="F19" s="5"/>
    </row>
    <row r="20" spans="1:6" x14ac:dyDescent="0.3">
      <c r="B20" s="6" t="s">
        <v>4140</v>
      </c>
      <c r="C20" s="95">
        <f>SUM(F25:F182)</f>
        <v>127820</v>
      </c>
      <c r="D20" s="6" t="s">
        <v>4141</v>
      </c>
      <c r="F20" s="6"/>
    </row>
    <row r="21" spans="1:6" x14ac:dyDescent="0.3">
      <c r="B21" s="6"/>
      <c r="C21" s="96">
        <f>SUM(C19:C20)</f>
        <v>227318</v>
      </c>
      <c r="D21" t="s">
        <v>4142</v>
      </c>
      <c r="F21" s="6"/>
    </row>
    <row r="22" spans="1:6" x14ac:dyDescent="0.3">
      <c r="F22" s="6"/>
    </row>
    <row r="23" spans="1:6" x14ac:dyDescent="0.3">
      <c r="D23" s="97" t="s">
        <v>4130</v>
      </c>
      <c r="E23" s="98"/>
      <c r="F23" s="99"/>
    </row>
    <row r="24" spans="1:6" x14ac:dyDescent="0.3">
      <c r="B24" s="100" t="s">
        <v>4143</v>
      </c>
      <c r="C24" s="101" t="s">
        <v>350</v>
      </c>
      <c r="D24" s="87" t="s">
        <v>4131</v>
      </c>
      <c r="E24" s="87" t="s">
        <v>4133</v>
      </c>
      <c r="F24" s="87" t="s">
        <v>4134</v>
      </c>
    </row>
    <row r="25" spans="1:6" x14ac:dyDescent="0.3">
      <c r="B25" s="102" t="s">
        <v>434</v>
      </c>
      <c r="C25" s="102" t="s">
        <v>4144</v>
      </c>
      <c r="D25" s="103">
        <v>3419</v>
      </c>
      <c r="E25" s="103">
        <v>4378</v>
      </c>
      <c r="F25" s="104">
        <v>2755</v>
      </c>
    </row>
    <row r="26" spans="1:6" x14ac:dyDescent="0.3">
      <c r="B26" s="102" t="s">
        <v>434</v>
      </c>
      <c r="C26" s="102" t="s">
        <v>4145</v>
      </c>
      <c r="D26" s="103">
        <v>1492</v>
      </c>
      <c r="E26" s="103">
        <v>2126</v>
      </c>
      <c r="F26" s="104">
        <v>2103</v>
      </c>
    </row>
    <row r="27" spans="1:6" x14ac:dyDescent="0.3">
      <c r="B27" s="102" t="s">
        <v>434</v>
      </c>
      <c r="C27" s="102" t="s">
        <v>4146</v>
      </c>
      <c r="D27" s="103">
        <v>1371</v>
      </c>
      <c r="E27" s="103">
        <v>1930</v>
      </c>
      <c r="F27" s="104">
        <v>1823</v>
      </c>
    </row>
    <row r="28" spans="1:6" x14ac:dyDescent="0.3">
      <c r="B28" s="102" t="s">
        <v>434</v>
      </c>
      <c r="C28" s="102" t="s">
        <v>4147</v>
      </c>
      <c r="D28" s="103">
        <v>1607</v>
      </c>
      <c r="E28" s="103">
        <v>2133</v>
      </c>
      <c r="F28" s="104">
        <v>2102</v>
      </c>
    </row>
    <row r="29" spans="1:6" x14ac:dyDescent="0.3">
      <c r="B29" s="102" t="s">
        <v>434</v>
      </c>
      <c r="C29" s="102" t="s">
        <v>4148</v>
      </c>
      <c r="D29" s="103">
        <v>951</v>
      </c>
      <c r="E29" s="103">
        <v>1445</v>
      </c>
      <c r="F29" s="104">
        <v>1416</v>
      </c>
    </row>
    <row r="30" spans="1:6" x14ac:dyDescent="0.3">
      <c r="B30" s="102" t="s">
        <v>434</v>
      </c>
      <c r="C30" s="102" t="s">
        <v>4149</v>
      </c>
      <c r="D30" s="103">
        <v>889</v>
      </c>
      <c r="E30" s="103">
        <v>1293</v>
      </c>
      <c r="F30" s="104">
        <v>1526</v>
      </c>
    </row>
    <row r="31" spans="1:6" x14ac:dyDescent="0.3">
      <c r="B31" s="102" t="s">
        <v>434</v>
      </c>
      <c r="C31" s="102" t="s">
        <v>4150</v>
      </c>
      <c r="D31" s="103">
        <v>1254</v>
      </c>
      <c r="E31" s="103">
        <v>1989</v>
      </c>
      <c r="F31" s="104">
        <v>1685</v>
      </c>
    </row>
    <row r="32" spans="1:6" x14ac:dyDescent="0.3">
      <c r="B32" s="102" t="s">
        <v>434</v>
      </c>
      <c r="C32" s="102" t="s">
        <v>4151</v>
      </c>
      <c r="D32" s="103">
        <v>1025</v>
      </c>
      <c r="E32" s="103">
        <v>1362</v>
      </c>
      <c r="F32" s="104">
        <v>2077</v>
      </c>
    </row>
    <row r="33" spans="2:6" x14ac:dyDescent="0.3">
      <c r="B33" s="102" t="s">
        <v>434</v>
      </c>
      <c r="C33" s="102" t="s">
        <v>4152</v>
      </c>
      <c r="D33" s="103">
        <v>1194</v>
      </c>
      <c r="E33" s="103">
        <v>2016</v>
      </c>
      <c r="F33" s="104">
        <v>1452</v>
      </c>
    </row>
    <row r="34" spans="2:6" x14ac:dyDescent="0.3">
      <c r="B34" s="102" t="s">
        <v>434</v>
      </c>
      <c r="C34" s="102" t="s">
        <v>4153</v>
      </c>
      <c r="D34" s="103">
        <v>607</v>
      </c>
      <c r="E34" s="103">
        <v>853</v>
      </c>
      <c r="F34" s="104">
        <v>1022</v>
      </c>
    </row>
    <row r="35" spans="2:6" x14ac:dyDescent="0.3">
      <c r="B35" s="102" t="s">
        <v>434</v>
      </c>
      <c r="C35" s="102" t="s">
        <v>4154</v>
      </c>
      <c r="D35" s="103">
        <v>626</v>
      </c>
      <c r="E35" s="103">
        <v>1569</v>
      </c>
      <c r="F35" s="104">
        <v>1033</v>
      </c>
    </row>
    <row r="36" spans="2:6" x14ac:dyDescent="0.3">
      <c r="B36" s="102" t="s">
        <v>434</v>
      </c>
      <c r="C36" s="102" t="s">
        <v>4155</v>
      </c>
      <c r="D36" s="103">
        <v>1037</v>
      </c>
      <c r="E36" s="103">
        <v>2300</v>
      </c>
      <c r="F36" s="104">
        <v>1598</v>
      </c>
    </row>
    <row r="37" spans="2:6" x14ac:dyDescent="0.3">
      <c r="B37" s="102" t="s">
        <v>434</v>
      </c>
      <c r="C37" s="102" t="s">
        <v>4156</v>
      </c>
      <c r="D37" s="103">
        <v>972</v>
      </c>
      <c r="E37" s="103">
        <v>2128</v>
      </c>
      <c r="F37" s="104">
        <v>912</v>
      </c>
    </row>
    <row r="38" spans="2:6" x14ac:dyDescent="0.3">
      <c r="B38" s="102" t="s">
        <v>434</v>
      </c>
      <c r="C38" s="102" t="s">
        <v>4157</v>
      </c>
      <c r="D38" s="103">
        <v>88</v>
      </c>
      <c r="E38" s="103">
        <v>1159</v>
      </c>
      <c r="F38" s="104">
        <v>0</v>
      </c>
    </row>
    <row r="39" spans="2:6" x14ac:dyDescent="0.3">
      <c r="B39" s="102" t="s">
        <v>434</v>
      </c>
      <c r="C39" s="102" t="s">
        <v>4158</v>
      </c>
      <c r="D39" s="103">
        <v>2052</v>
      </c>
      <c r="E39" s="103">
        <v>2159</v>
      </c>
      <c r="F39" s="104">
        <v>1582</v>
      </c>
    </row>
    <row r="40" spans="2:6" x14ac:dyDescent="0.3">
      <c r="B40" s="102" t="s">
        <v>434</v>
      </c>
      <c r="C40" s="102" t="s">
        <v>4159</v>
      </c>
      <c r="D40" s="103">
        <v>1582</v>
      </c>
      <c r="E40" s="103">
        <v>2308</v>
      </c>
      <c r="F40" s="104">
        <v>1699</v>
      </c>
    </row>
    <row r="41" spans="2:6" x14ac:dyDescent="0.3">
      <c r="B41" s="102" t="s">
        <v>434</v>
      </c>
      <c r="C41" s="102" t="s">
        <v>4160</v>
      </c>
      <c r="D41" s="103">
        <v>1088</v>
      </c>
      <c r="E41" s="103">
        <v>1218</v>
      </c>
      <c r="F41" s="104">
        <v>981</v>
      </c>
    </row>
    <row r="42" spans="2:6" x14ac:dyDescent="0.3">
      <c r="B42" s="102" t="s">
        <v>434</v>
      </c>
      <c r="C42" s="102" t="s">
        <v>4161</v>
      </c>
      <c r="D42" s="103">
        <v>706</v>
      </c>
      <c r="E42" s="103">
        <v>1151</v>
      </c>
      <c r="F42" s="104">
        <v>1145</v>
      </c>
    </row>
    <row r="43" spans="2:6" x14ac:dyDescent="0.3">
      <c r="B43" s="102" t="s">
        <v>434</v>
      </c>
      <c r="C43" s="102" t="s">
        <v>4162</v>
      </c>
      <c r="D43" s="103">
        <v>1335</v>
      </c>
      <c r="E43" s="103">
        <v>2098</v>
      </c>
      <c r="F43" s="104">
        <v>1322</v>
      </c>
    </row>
    <row r="44" spans="2:6" x14ac:dyDescent="0.3">
      <c r="B44" s="102" t="s">
        <v>434</v>
      </c>
      <c r="C44" s="102" t="s">
        <v>4163</v>
      </c>
      <c r="D44" s="103">
        <v>702</v>
      </c>
      <c r="E44" s="103">
        <v>1162</v>
      </c>
      <c r="F44" s="104">
        <v>877</v>
      </c>
    </row>
    <row r="45" spans="2:6" x14ac:dyDescent="0.3">
      <c r="B45" s="102" t="s">
        <v>434</v>
      </c>
      <c r="C45" s="102" t="s">
        <v>4164</v>
      </c>
      <c r="D45" s="103">
        <v>968</v>
      </c>
      <c r="E45" s="103">
        <v>1101</v>
      </c>
      <c r="F45" s="104">
        <v>797</v>
      </c>
    </row>
    <row r="46" spans="2:6" x14ac:dyDescent="0.3">
      <c r="B46" s="102" t="s">
        <v>434</v>
      </c>
      <c r="C46" s="102" t="s">
        <v>4165</v>
      </c>
      <c r="D46" s="103">
        <v>1664</v>
      </c>
      <c r="E46" s="103">
        <v>2069</v>
      </c>
      <c r="F46" s="104">
        <v>1710</v>
      </c>
    </row>
    <row r="47" spans="2:6" x14ac:dyDescent="0.3">
      <c r="B47" s="102" t="s">
        <v>434</v>
      </c>
      <c r="C47" s="102" t="s">
        <v>4166</v>
      </c>
      <c r="D47" s="103">
        <v>624</v>
      </c>
      <c r="E47" s="103">
        <v>770</v>
      </c>
      <c r="F47" s="104">
        <v>746</v>
      </c>
    </row>
    <row r="48" spans="2:6" x14ac:dyDescent="0.3">
      <c r="B48" s="102" t="s">
        <v>434</v>
      </c>
      <c r="C48" s="102" t="s">
        <v>4167</v>
      </c>
      <c r="D48" s="103">
        <v>685</v>
      </c>
      <c r="E48" s="103">
        <v>1501</v>
      </c>
      <c r="F48" s="104">
        <v>1126</v>
      </c>
    </row>
    <row r="49" spans="2:6" x14ac:dyDescent="0.3">
      <c r="B49" s="102" t="s">
        <v>434</v>
      </c>
      <c r="C49" s="102" t="s">
        <v>4168</v>
      </c>
      <c r="D49" s="103">
        <v>1248</v>
      </c>
      <c r="E49" s="103">
        <v>1763</v>
      </c>
      <c r="F49" s="104">
        <v>1146</v>
      </c>
    </row>
    <row r="50" spans="2:6" x14ac:dyDescent="0.3">
      <c r="B50" s="102" t="s">
        <v>434</v>
      </c>
      <c r="C50" s="102" t="s">
        <v>4169</v>
      </c>
      <c r="D50" s="103">
        <v>1342</v>
      </c>
      <c r="E50" s="103">
        <v>1559</v>
      </c>
      <c r="F50" s="104">
        <v>1307</v>
      </c>
    </row>
    <row r="51" spans="2:6" x14ac:dyDescent="0.3">
      <c r="B51" s="102" t="s">
        <v>434</v>
      </c>
      <c r="C51" s="102" t="s">
        <v>4170</v>
      </c>
      <c r="D51" s="103">
        <v>760</v>
      </c>
      <c r="E51" s="103">
        <v>965</v>
      </c>
      <c r="F51" s="104">
        <v>921</v>
      </c>
    </row>
    <row r="52" spans="2:6" x14ac:dyDescent="0.3">
      <c r="B52" s="102" t="s">
        <v>434</v>
      </c>
      <c r="C52" s="102" t="s">
        <v>4171</v>
      </c>
      <c r="D52" s="103">
        <v>1187</v>
      </c>
      <c r="E52" s="103">
        <v>1568</v>
      </c>
      <c r="F52" s="104">
        <v>1190</v>
      </c>
    </row>
    <row r="53" spans="2:6" x14ac:dyDescent="0.3">
      <c r="B53" s="102" t="s">
        <v>434</v>
      </c>
      <c r="C53" s="102" t="s">
        <v>4172</v>
      </c>
      <c r="D53" s="103">
        <v>0</v>
      </c>
      <c r="E53" s="103">
        <v>0</v>
      </c>
      <c r="F53" s="104">
        <v>277</v>
      </c>
    </row>
    <row r="54" spans="2:6" x14ac:dyDescent="0.3">
      <c r="B54" s="102" t="s">
        <v>434</v>
      </c>
      <c r="C54" s="102" t="s">
        <v>4173</v>
      </c>
      <c r="D54" s="103">
        <v>368</v>
      </c>
      <c r="E54" s="103">
        <v>1386</v>
      </c>
      <c r="F54" s="104">
        <v>637</v>
      </c>
    </row>
    <row r="55" spans="2:6" x14ac:dyDescent="0.3">
      <c r="B55" s="102" t="s">
        <v>434</v>
      </c>
      <c r="C55" s="102" t="s">
        <v>4174</v>
      </c>
      <c r="D55" s="103">
        <v>317</v>
      </c>
      <c r="E55" s="103">
        <v>1215</v>
      </c>
      <c r="F55" s="104">
        <v>478</v>
      </c>
    </row>
    <row r="56" spans="2:6" x14ac:dyDescent="0.3">
      <c r="B56" s="102" t="s">
        <v>434</v>
      </c>
      <c r="C56" s="102" t="s">
        <v>4175</v>
      </c>
      <c r="D56" s="103">
        <v>689</v>
      </c>
      <c r="E56" s="103">
        <v>2544</v>
      </c>
      <c r="F56" s="104">
        <v>1009</v>
      </c>
    </row>
    <row r="57" spans="2:6" x14ac:dyDescent="0.3">
      <c r="B57" s="102" t="s">
        <v>434</v>
      </c>
      <c r="C57" s="102" t="s">
        <v>4176</v>
      </c>
      <c r="D57" s="103">
        <v>510</v>
      </c>
      <c r="E57" s="103">
        <v>2583</v>
      </c>
      <c r="F57" s="104">
        <v>861</v>
      </c>
    </row>
    <row r="58" spans="2:6" x14ac:dyDescent="0.3">
      <c r="B58" s="102" t="s">
        <v>434</v>
      </c>
      <c r="C58" s="102" t="s">
        <v>4177</v>
      </c>
      <c r="D58" s="103">
        <v>257</v>
      </c>
      <c r="E58" s="103">
        <v>1023</v>
      </c>
      <c r="F58" s="104">
        <v>446</v>
      </c>
    </row>
    <row r="59" spans="2:6" x14ac:dyDescent="0.3">
      <c r="B59" s="102" t="s">
        <v>434</v>
      </c>
      <c r="C59" s="102" t="s">
        <v>4178</v>
      </c>
      <c r="D59" s="103">
        <v>335</v>
      </c>
      <c r="E59" s="103">
        <v>1225</v>
      </c>
      <c r="F59" s="104">
        <v>520</v>
      </c>
    </row>
    <row r="60" spans="2:6" x14ac:dyDescent="0.3">
      <c r="B60" s="102" t="s">
        <v>434</v>
      </c>
      <c r="C60" s="102" t="s">
        <v>4179</v>
      </c>
      <c r="D60" s="103">
        <v>264</v>
      </c>
      <c r="E60" s="103">
        <v>957</v>
      </c>
      <c r="F60" s="104">
        <v>405</v>
      </c>
    </row>
    <row r="61" spans="2:6" x14ac:dyDescent="0.3">
      <c r="B61" s="102" t="s">
        <v>434</v>
      </c>
      <c r="C61" s="102" t="s">
        <v>4180</v>
      </c>
      <c r="D61" s="103">
        <v>285</v>
      </c>
      <c r="E61" s="103">
        <v>869</v>
      </c>
      <c r="F61" s="104">
        <v>434</v>
      </c>
    </row>
    <row r="62" spans="2:6" x14ac:dyDescent="0.3">
      <c r="B62" s="102" t="s">
        <v>434</v>
      </c>
      <c r="C62" s="102" t="s">
        <v>4181</v>
      </c>
      <c r="D62" s="103">
        <v>550</v>
      </c>
      <c r="E62" s="103">
        <v>2502</v>
      </c>
      <c r="F62" s="104">
        <v>822</v>
      </c>
    </row>
    <row r="63" spans="2:6" x14ac:dyDescent="0.3">
      <c r="B63" s="102" t="s">
        <v>434</v>
      </c>
      <c r="C63" s="102" t="s">
        <v>4182</v>
      </c>
      <c r="D63" s="103">
        <v>266</v>
      </c>
      <c r="E63" s="103">
        <v>1382</v>
      </c>
      <c r="F63" s="104">
        <v>501</v>
      </c>
    </row>
    <row r="64" spans="2:6" x14ac:dyDescent="0.3">
      <c r="B64" s="102" t="s">
        <v>434</v>
      </c>
      <c r="C64" s="102" t="s">
        <v>4183</v>
      </c>
      <c r="D64" s="103">
        <v>598</v>
      </c>
      <c r="E64" s="103">
        <v>2107</v>
      </c>
      <c r="F64" s="104">
        <v>1002</v>
      </c>
    </row>
    <row r="65" spans="2:6" x14ac:dyDescent="0.3">
      <c r="B65" s="102" t="s">
        <v>434</v>
      </c>
      <c r="C65" s="102" t="s">
        <v>4184</v>
      </c>
      <c r="D65" s="103">
        <v>344</v>
      </c>
      <c r="E65" s="103">
        <v>1641</v>
      </c>
      <c r="F65" s="104">
        <v>765</v>
      </c>
    </row>
    <row r="66" spans="2:6" x14ac:dyDescent="0.3">
      <c r="B66" s="102" t="s">
        <v>434</v>
      </c>
      <c r="C66" s="102" t="s">
        <v>4185</v>
      </c>
      <c r="D66" s="103">
        <v>183</v>
      </c>
      <c r="E66" s="103">
        <v>867</v>
      </c>
      <c r="F66" s="104">
        <v>384</v>
      </c>
    </row>
    <row r="67" spans="2:6" x14ac:dyDescent="0.3">
      <c r="B67" s="102" t="s">
        <v>434</v>
      </c>
      <c r="C67" s="102" t="s">
        <v>4186</v>
      </c>
      <c r="D67" s="103">
        <v>302</v>
      </c>
      <c r="E67" s="103">
        <v>1326</v>
      </c>
      <c r="F67" s="104">
        <v>586</v>
      </c>
    </row>
    <row r="68" spans="2:6" x14ac:dyDescent="0.3">
      <c r="B68" s="102" t="s">
        <v>434</v>
      </c>
      <c r="C68" s="102" t="s">
        <v>4187</v>
      </c>
      <c r="D68" s="103">
        <v>177</v>
      </c>
      <c r="E68" s="103">
        <v>823</v>
      </c>
      <c r="F68" s="104">
        <v>548</v>
      </c>
    </row>
    <row r="69" spans="2:6" x14ac:dyDescent="0.3">
      <c r="B69" s="102" t="s">
        <v>434</v>
      </c>
      <c r="C69" s="102" t="s">
        <v>4188</v>
      </c>
      <c r="D69" s="103">
        <v>285</v>
      </c>
      <c r="E69" s="103">
        <v>1249</v>
      </c>
      <c r="F69" s="104">
        <v>533</v>
      </c>
    </row>
    <row r="70" spans="2:6" x14ac:dyDescent="0.3">
      <c r="B70" s="102" t="s">
        <v>434</v>
      </c>
      <c r="C70" s="102" t="s">
        <v>4189</v>
      </c>
      <c r="D70" s="103">
        <v>236</v>
      </c>
      <c r="E70" s="103">
        <v>1162</v>
      </c>
      <c r="F70" s="104">
        <v>402</v>
      </c>
    </row>
    <row r="71" spans="2:6" x14ac:dyDescent="0.3">
      <c r="B71" s="102" t="s">
        <v>434</v>
      </c>
      <c r="C71" s="102" t="s">
        <v>4190</v>
      </c>
      <c r="D71" s="103">
        <v>293</v>
      </c>
      <c r="E71" s="103">
        <v>1016</v>
      </c>
      <c r="F71" s="104">
        <v>585</v>
      </c>
    </row>
    <row r="72" spans="2:6" x14ac:dyDescent="0.3">
      <c r="B72" s="102" t="s">
        <v>434</v>
      </c>
      <c r="C72" s="102" t="s">
        <v>4191</v>
      </c>
      <c r="D72" s="103">
        <v>242</v>
      </c>
      <c r="E72" s="103">
        <v>1363</v>
      </c>
      <c r="F72" s="104">
        <v>428</v>
      </c>
    </row>
    <row r="73" spans="2:6" x14ac:dyDescent="0.3">
      <c r="B73" s="102" t="s">
        <v>434</v>
      </c>
      <c r="C73" s="102" t="s">
        <v>4192</v>
      </c>
      <c r="D73" s="103">
        <v>248</v>
      </c>
      <c r="E73" s="103">
        <v>1398</v>
      </c>
      <c r="F73" s="104">
        <v>476</v>
      </c>
    </row>
    <row r="74" spans="2:6" x14ac:dyDescent="0.3">
      <c r="B74" s="102" t="s">
        <v>434</v>
      </c>
      <c r="C74" s="102" t="s">
        <v>4193</v>
      </c>
      <c r="D74" s="103">
        <v>292</v>
      </c>
      <c r="E74" s="103">
        <v>1380</v>
      </c>
      <c r="F74" s="104">
        <v>456</v>
      </c>
    </row>
    <row r="75" spans="2:6" x14ac:dyDescent="0.3">
      <c r="B75" s="102" t="s">
        <v>434</v>
      </c>
      <c r="C75" s="102" t="s">
        <v>4194</v>
      </c>
      <c r="D75" s="103">
        <v>196</v>
      </c>
      <c r="E75" s="103">
        <v>1238</v>
      </c>
      <c r="F75" s="104">
        <v>493</v>
      </c>
    </row>
    <row r="76" spans="2:6" x14ac:dyDescent="0.3">
      <c r="B76" s="102" t="s">
        <v>434</v>
      </c>
      <c r="C76" s="102" t="s">
        <v>4195</v>
      </c>
      <c r="D76" s="103">
        <v>432</v>
      </c>
      <c r="E76" s="103">
        <v>1216</v>
      </c>
      <c r="F76" s="104">
        <v>552</v>
      </c>
    </row>
    <row r="77" spans="2:6" x14ac:dyDescent="0.3">
      <c r="B77" s="102" t="s">
        <v>434</v>
      </c>
      <c r="C77" s="102" t="s">
        <v>4196</v>
      </c>
      <c r="D77" s="103">
        <v>420</v>
      </c>
      <c r="E77" s="103">
        <v>1581</v>
      </c>
      <c r="F77" s="104">
        <v>525</v>
      </c>
    </row>
    <row r="78" spans="2:6" x14ac:dyDescent="0.3">
      <c r="B78" s="102" t="s">
        <v>434</v>
      </c>
      <c r="C78" s="102" t="s">
        <v>4197</v>
      </c>
      <c r="D78" s="103">
        <v>398</v>
      </c>
      <c r="E78" s="103">
        <v>1759</v>
      </c>
      <c r="F78" s="104">
        <v>682</v>
      </c>
    </row>
    <row r="79" spans="2:6" x14ac:dyDescent="0.3">
      <c r="B79" s="102" t="s">
        <v>434</v>
      </c>
      <c r="C79" s="102" t="s">
        <v>4198</v>
      </c>
      <c r="D79" s="103">
        <v>128</v>
      </c>
      <c r="E79" s="103">
        <v>791</v>
      </c>
      <c r="F79" s="104">
        <v>242</v>
      </c>
    </row>
    <row r="80" spans="2:6" x14ac:dyDescent="0.3">
      <c r="B80" s="102" t="s">
        <v>434</v>
      </c>
      <c r="C80" s="102" t="s">
        <v>4199</v>
      </c>
      <c r="D80" s="103">
        <v>225</v>
      </c>
      <c r="E80" s="103">
        <v>935</v>
      </c>
      <c r="F80" s="104">
        <v>432</v>
      </c>
    </row>
    <row r="81" spans="2:6" x14ac:dyDescent="0.3">
      <c r="B81" s="102" t="s">
        <v>434</v>
      </c>
      <c r="C81" s="102" t="s">
        <v>4200</v>
      </c>
      <c r="D81" s="103">
        <v>1358</v>
      </c>
      <c r="E81" s="103">
        <v>2231</v>
      </c>
      <c r="F81" s="104">
        <v>1391</v>
      </c>
    </row>
    <row r="82" spans="2:6" x14ac:dyDescent="0.3">
      <c r="B82" s="102" t="s">
        <v>434</v>
      </c>
      <c r="C82" s="102" t="s">
        <v>4201</v>
      </c>
      <c r="D82" s="103">
        <v>1345</v>
      </c>
      <c r="E82" s="103">
        <v>1791</v>
      </c>
      <c r="F82" s="104">
        <v>1460</v>
      </c>
    </row>
    <row r="83" spans="2:6" x14ac:dyDescent="0.3">
      <c r="B83" s="102" t="s">
        <v>434</v>
      </c>
      <c r="C83" s="102" t="s">
        <v>4202</v>
      </c>
      <c r="D83" s="103">
        <v>769</v>
      </c>
      <c r="E83" s="103">
        <v>1948</v>
      </c>
      <c r="F83" s="104">
        <v>1011</v>
      </c>
    </row>
    <row r="84" spans="2:6" x14ac:dyDescent="0.3">
      <c r="B84" s="102" t="s">
        <v>434</v>
      </c>
      <c r="C84" s="102" t="s">
        <v>4203</v>
      </c>
      <c r="D84" s="103">
        <v>560</v>
      </c>
      <c r="E84" s="103">
        <v>1835</v>
      </c>
      <c r="F84" s="104">
        <v>642</v>
      </c>
    </row>
    <row r="85" spans="2:6" x14ac:dyDescent="0.3">
      <c r="B85" s="102" t="s">
        <v>434</v>
      </c>
      <c r="C85" s="102" t="s">
        <v>4204</v>
      </c>
      <c r="D85" s="103">
        <v>836</v>
      </c>
      <c r="E85" s="103">
        <v>2245</v>
      </c>
      <c r="F85" s="104">
        <v>861</v>
      </c>
    </row>
    <row r="86" spans="2:6" x14ac:dyDescent="0.3">
      <c r="B86" s="102" t="s">
        <v>434</v>
      </c>
      <c r="C86" s="102" t="s">
        <v>4205</v>
      </c>
      <c r="D86" s="103">
        <v>587</v>
      </c>
      <c r="E86" s="103">
        <v>1471</v>
      </c>
      <c r="F86" s="104">
        <v>623</v>
      </c>
    </row>
    <row r="87" spans="2:6" x14ac:dyDescent="0.3">
      <c r="B87" s="102" t="s">
        <v>434</v>
      </c>
      <c r="C87" s="102" t="s">
        <v>4206</v>
      </c>
      <c r="D87" s="103">
        <v>774</v>
      </c>
      <c r="E87" s="103">
        <v>1403</v>
      </c>
      <c r="F87" s="104">
        <v>1085</v>
      </c>
    </row>
    <row r="88" spans="2:6" x14ac:dyDescent="0.3">
      <c r="B88" s="102" t="s">
        <v>434</v>
      </c>
      <c r="C88" s="102" t="s">
        <v>4207</v>
      </c>
      <c r="D88" s="103">
        <v>757</v>
      </c>
      <c r="E88" s="103">
        <v>1203</v>
      </c>
      <c r="F88" s="104">
        <v>1175</v>
      </c>
    </row>
    <row r="89" spans="2:6" x14ac:dyDescent="0.3">
      <c r="B89" s="102" t="s">
        <v>434</v>
      </c>
      <c r="C89" s="102" t="s">
        <v>4208</v>
      </c>
      <c r="D89" s="103">
        <v>591</v>
      </c>
      <c r="E89" s="103">
        <v>1439</v>
      </c>
      <c r="F89" s="104">
        <v>858</v>
      </c>
    </row>
    <row r="90" spans="2:6" x14ac:dyDescent="0.3">
      <c r="B90" s="102" t="s">
        <v>434</v>
      </c>
      <c r="C90" s="102" t="s">
        <v>4209</v>
      </c>
      <c r="D90" s="103">
        <v>457</v>
      </c>
      <c r="E90" s="103">
        <v>1161</v>
      </c>
      <c r="F90" s="104">
        <v>594</v>
      </c>
    </row>
    <row r="91" spans="2:6" x14ac:dyDescent="0.3">
      <c r="B91" s="102" t="s">
        <v>434</v>
      </c>
      <c r="C91" s="102" t="s">
        <v>4210</v>
      </c>
      <c r="D91" s="103">
        <v>494</v>
      </c>
      <c r="E91" s="103">
        <v>1585</v>
      </c>
      <c r="F91" s="104">
        <v>705</v>
      </c>
    </row>
    <row r="92" spans="2:6" x14ac:dyDescent="0.3">
      <c r="B92" s="102" t="s">
        <v>434</v>
      </c>
      <c r="C92" s="102" t="s">
        <v>4211</v>
      </c>
      <c r="D92" s="103">
        <v>914</v>
      </c>
      <c r="E92" s="103">
        <v>1727</v>
      </c>
      <c r="F92" s="104">
        <v>1308</v>
      </c>
    </row>
    <row r="93" spans="2:6" x14ac:dyDescent="0.3">
      <c r="B93" s="102" t="s">
        <v>434</v>
      </c>
      <c r="C93" s="102" t="s">
        <v>4212</v>
      </c>
      <c r="D93" s="103">
        <v>581</v>
      </c>
      <c r="E93" s="103">
        <v>1448</v>
      </c>
      <c r="F93" s="104">
        <v>885</v>
      </c>
    </row>
    <row r="94" spans="2:6" x14ac:dyDescent="0.3">
      <c r="B94" s="102" t="s">
        <v>434</v>
      </c>
      <c r="C94" s="102" t="s">
        <v>4213</v>
      </c>
      <c r="D94" s="103">
        <v>31</v>
      </c>
      <c r="E94" s="103">
        <v>0</v>
      </c>
      <c r="F94" s="104">
        <v>78</v>
      </c>
    </row>
    <row r="95" spans="2:6" x14ac:dyDescent="0.3">
      <c r="B95" s="102" t="s">
        <v>434</v>
      </c>
      <c r="C95" s="102" t="s">
        <v>4214</v>
      </c>
      <c r="D95" s="103">
        <v>92</v>
      </c>
      <c r="E95" s="103">
        <v>233</v>
      </c>
      <c r="F95" s="104">
        <v>494</v>
      </c>
    </row>
    <row r="96" spans="2:6" x14ac:dyDescent="0.3">
      <c r="B96" s="102" t="s">
        <v>434</v>
      </c>
      <c r="C96" s="102" t="s">
        <v>4215</v>
      </c>
      <c r="D96" s="103">
        <v>486</v>
      </c>
      <c r="E96" s="103">
        <v>1176</v>
      </c>
      <c r="F96" s="104">
        <v>400</v>
      </c>
    </row>
    <row r="97" spans="2:6" x14ac:dyDescent="0.3">
      <c r="B97" s="102" t="s">
        <v>434</v>
      </c>
      <c r="C97" s="102" t="s">
        <v>4216</v>
      </c>
      <c r="D97" s="103">
        <v>440</v>
      </c>
      <c r="E97" s="103">
        <v>874</v>
      </c>
      <c r="F97" s="104">
        <v>803</v>
      </c>
    </row>
    <row r="98" spans="2:6" x14ac:dyDescent="0.3">
      <c r="B98" s="102" t="s">
        <v>434</v>
      </c>
      <c r="C98" s="102" t="s">
        <v>4217</v>
      </c>
      <c r="D98" s="103">
        <v>127</v>
      </c>
      <c r="E98" s="103">
        <v>695</v>
      </c>
      <c r="F98" s="104">
        <v>440</v>
      </c>
    </row>
    <row r="99" spans="2:6" x14ac:dyDescent="0.3">
      <c r="B99" s="102" t="s">
        <v>434</v>
      </c>
      <c r="C99" s="102" t="s">
        <v>4218</v>
      </c>
      <c r="D99" s="103">
        <v>257</v>
      </c>
      <c r="E99" s="103">
        <v>1367</v>
      </c>
      <c r="F99" s="104">
        <v>544</v>
      </c>
    </row>
    <row r="100" spans="2:6" x14ac:dyDescent="0.3">
      <c r="B100" s="102" t="s">
        <v>434</v>
      </c>
      <c r="C100" s="102" t="s">
        <v>4219</v>
      </c>
      <c r="D100" s="103">
        <v>399</v>
      </c>
      <c r="E100" s="103">
        <v>1238</v>
      </c>
      <c r="F100" s="104">
        <v>622</v>
      </c>
    </row>
    <row r="101" spans="2:6" x14ac:dyDescent="0.3">
      <c r="B101" s="102" t="s">
        <v>434</v>
      </c>
      <c r="C101" s="102" t="s">
        <v>4220</v>
      </c>
      <c r="D101" s="103">
        <v>470</v>
      </c>
      <c r="E101" s="103">
        <v>1609</v>
      </c>
      <c r="F101" s="104">
        <v>662</v>
      </c>
    </row>
    <row r="102" spans="2:6" x14ac:dyDescent="0.3">
      <c r="B102" s="102" t="s">
        <v>434</v>
      </c>
      <c r="C102" s="102" t="s">
        <v>4221</v>
      </c>
      <c r="D102" s="103">
        <v>651</v>
      </c>
      <c r="E102" s="103">
        <v>2120</v>
      </c>
      <c r="F102" s="104">
        <v>824</v>
      </c>
    </row>
    <row r="103" spans="2:6" x14ac:dyDescent="0.3">
      <c r="B103" s="102" t="s">
        <v>434</v>
      </c>
      <c r="C103" s="102" t="s">
        <v>4222</v>
      </c>
      <c r="D103" s="103">
        <v>757</v>
      </c>
      <c r="E103" s="103">
        <v>2498</v>
      </c>
      <c r="F103" s="104">
        <v>846</v>
      </c>
    </row>
    <row r="104" spans="2:6" x14ac:dyDescent="0.3">
      <c r="B104" s="102" t="s">
        <v>434</v>
      </c>
      <c r="C104" s="102" t="s">
        <v>4223</v>
      </c>
      <c r="D104" s="103">
        <v>526</v>
      </c>
      <c r="E104" s="103">
        <v>1902</v>
      </c>
      <c r="F104" s="104">
        <v>743</v>
      </c>
    </row>
    <row r="105" spans="2:6" x14ac:dyDescent="0.3">
      <c r="B105" s="102" t="s">
        <v>434</v>
      </c>
      <c r="C105" s="102" t="s">
        <v>4224</v>
      </c>
      <c r="D105" s="103">
        <v>196</v>
      </c>
      <c r="E105" s="103">
        <v>994</v>
      </c>
      <c r="F105" s="104">
        <v>477</v>
      </c>
    </row>
    <row r="106" spans="2:6" x14ac:dyDescent="0.3">
      <c r="B106" s="102" t="s">
        <v>434</v>
      </c>
      <c r="C106" s="102" t="s">
        <v>4225</v>
      </c>
      <c r="D106" s="103">
        <v>260</v>
      </c>
      <c r="E106" s="103">
        <v>1010</v>
      </c>
      <c r="F106" s="104">
        <v>575</v>
      </c>
    </row>
    <row r="107" spans="2:6" x14ac:dyDescent="0.3">
      <c r="B107" s="102" t="s">
        <v>434</v>
      </c>
      <c r="C107" s="102" t="s">
        <v>4226</v>
      </c>
      <c r="D107" s="103">
        <v>192</v>
      </c>
      <c r="E107" s="103">
        <v>899</v>
      </c>
      <c r="F107" s="104">
        <v>369</v>
      </c>
    </row>
    <row r="108" spans="2:6" x14ac:dyDescent="0.3">
      <c r="B108" s="102" t="s">
        <v>434</v>
      </c>
      <c r="C108" s="102" t="s">
        <v>4227</v>
      </c>
      <c r="D108" s="103">
        <v>177</v>
      </c>
      <c r="E108" s="103">
        <v>284</v>
      </c>
      <c r="F108" s="104">
        <v>174</v>
      </c>
    </row>
    <row r="109" spans="2:6" x14ac:dyDescent="0.3">
      <c r="B109" s="102" t="s">
        <v>434</v>
      </c>
      <c r="C109" s="102" t="s">
        <v>4228</v>
      </c>
      <c r="D109" s="103">
        <v>741</v>
      </c>
      <c r="E109" s="103">
        <v>1781</v>
      </c>
      <c r="F109" s="104">
        <v>1028</v>
      </c>
    </row>
    <row r="110" spans="2:6" x14ac:dyDescent="0.3">
      <c r="B110" s="102" t="s">
        <v>434</v>
      </c>
      <c r="C110" s="102" t="s">
        <v>4229</v>
      </c>
      <c r="D110" s="103">
        <v>174</v>
      </c>
      <c r="E110" s="103">
        <v>773</v>
      </c>
      <c r="F110" s="104">
        <v>237</v>
      </c>
    </row>
    <row r="111" spans="2:6" x14ac:dyDescent="0.3">
      <c r="B111" s="102" t="s">
        <v>434</v>
      </c>
      <c r="C111" s="102" t="s">
        <v>4230</v>
      </c>
      <c r="D111" s="103">
        <v>94</v>
      </c>
      <c r="E111" s="103">
        <v>769</v>
      </c>
      <c r="F111" s="104">
        <v>228</v>
      </c>
    </row>
    <row r="112" spans="2:6" x14ac:dyDescent="0.3">
      <c r="B112" s="102" t="s">
        <v>434</v>
      </c>
      <c r="C112" s="102" t="s">
        <v>4231</v>
      </c>
      <c r="D112" s="103">
        <v>197</v>
      </c>
      <c r="E112" s="103">
        <v>837</v>
      </c>
      <c r="F112" s="104">
        <v>434</v>
      </c>
    </row>
    <row r="113" spans="2:6" x14ac:dyDescent="0.3">
      <c r="B113" s="102" t="s">
        <v>434</v>
      </c>
      <c r="C113" s="102" t="s">
        <v>4232</v>
      </c>
      <c r="D113" s="103">
        <v>318</v>
      </c>
      <c r="E113" s="103">
        <v>1120</v>
      </c>
      <c r="F113" s="104">
        <v>444</v>
      </c>
    </row>
    <row r="114" spans="2:6" x14ac:dyDescent="0.3">
      <c r="B114" s="102" t="s">
        <v>434</v>
      </c>
      <c r="C114" s="102" t="s">
        <v>4233</v>
      </c>
      <c r="D114" s="103">
        <v>82</v>
      </c>
      <c r="E114" s="103">
        <v>723</v>
      </c>
      <c r="F114" s="104">
        <v>204</v>
      </c>
    </row>
    <row r="115" spans="2:6" x14ac:dyDescent="0.3">
      <c r="B115" s="102" t="s">
        <v>434</v>
      </c>
      <c r="C115" s="102" t="s">
        <v>4234</v>
      </c>
      <c r="D115" s="103">
        <v>206</v>
      </c>
      <c r="E115" s="103">
        <v>550</v>
      </c>
      <c r="F115" s="104">
        <v>229</v>
      </c>
    </row>
    <row r="116" spans="2:6" x14ac:dyDescent="0.3">
      <c r="B116" s="102" t="s">
        <v>434</v>
      </c>
      <c r="C116" s="102" t="s">
        <v>4235</v>
      </c>
      <c r="D116" s="103">
        <v>390</v>
      </c>
      <c r="E116" s="103">
        <v>1297</v>
      </c>
      <c r="F116" s="104">
        <v>456</v>
      </c>
    </row>
    <row r="117" spans="2:6" x14ac:dyDescent="0.3">
      <c r="B117" s="102" t="s">
        <v>434</v>
      </c>
      <c r="C117" s="102" t="s">
        <v>4236</v>
      </c>
      <c r="D117" s="103">
        <v>111</v>
      </c>
      <c r="E117" s="103">
        <v>1160</v>
      </c>
      <c r="F117" s="104">
        <v>282</v>
      </c>
    </row>
    <row r="118" spans="2:6" x14ac:dyDescent="0.3">
      <c r="B118" s="102" t="s">
        <v>434</v>
      </c>
      <c r="C118" s="102" t="s">
        <v>4237</v>
      </c>
      <c r="D118" s="103">
        <v>522</v>
      </c>
      <c r="E118" s="103">
        <v>1667</v>
      </c>
      <c r="F118" s="104">
        <v>556</v>
      </c>
    </row>
    <row r="119" spans="2:6" x14ac:dyDescent="0.3">
      <c r="B119" s="102" t="s">
        <v>434</v>
      </c>
      <c r="C119" s="102" t="s">
        <v>4238</v>
      </c>
      <c r="D119" s="103">
        <v>278</v>
      </c>
      <c r="E119" s="103">
        <v>1091</v>
      </c>
      <c r="F119" s="104">
        <v>505</v>
      </c>
    </row>
    <row r="120" spans="2:6" x14ac:dyDescent="0.3">
      <c r="B120" s="102" t="s">
        <v>434</v>
      </c>
      <c r="C120" s="102" t="s">
        <v>4239</v>
      </c>
      <c r="D120" s="103">
        <v>0</v>
      </c>
      <c r="E120" s="103">
        <v>0</v>
      </c>
      <c r="F120" s="104">
        <v>0</v>
      </c>
    </row>
    <row r="121" spans="2:6" x14ac:dyDescent="0.3">
      <c r="B121" s="102" t="s">
        <v>434</v>
      </c>
      <c r="C121" s="102" t="s">
        <v>4240</v>
      </c>
      <c r="D121" s="103">
        <v>120</v>
      </c>
      <c r="E121" s="103">
        <v>1335</v>
      </c>
      <c r="F121" s="104">
        <v>289</v>
      </c>
    </row>
    <row r="122" spans="2:6" x14ac:dyDescent="0.3">
      <c r="B122" s="102" t="s">
        <v>434</v>
      </c>
      <c r="C122" s="102" t="s">
        <v>4241</v>
      </c>
      <c r="D122" s="103">
        <v>316</v>
      </c>
      <c r="E122" s="103">
        <v>1028</v>
      </c>
      <c r="F122" s="104">
        <v>505</v>
      </c>
    </row>
    <row r="123" spans="2:6" x14ac:dyDescent="0.3">
      <c r="B123" s="102" t="s">
        <v>434</v>
      </c>
      <c r="C123" s="102" t="s">
        <v>4242</v>
      </c>
      <c r="D123" s="103">
        <v>446</v>
      </c>
      <c r="E123" s="103">
        <v>1763</v>
      </c>
      <c r="F123" s="104">
        <v>527</v>
      </c>
    </row>
    <row r="124" spans="2:6" x14ac:dyDescent="0.3">
      <c r="B124" s="102" t="s">
        <v>434</v>
      </c>
      <c r="C124" s="102" t="s">
        <v>4243</v>
      </c>
      <c r="D124" s="103">
        <v>0</v>
      </c>
      <c r="E124" s="103">
        <v>0</v>
      </c>
      <c r="F124" s="104">
        <v>0</v>
      </c>
    </row>
    <row r="125" spans="2:6" x14ac:dyDescent="0.3">
      <c r="B125" s="102" t="s">
        <v>434</v>
      </c>
      <c r="C125" s="102" t="s">
        <v>4244</v>
      </c>
      <c r="D125" s="103">
        <v>254</v>
      </c>
      <c r="E125" s="103">
        <v>642</v>
      </c>
      <c r="F125" s="104">
        <v>308</v>
      </c>
    </row>
    <row r="126" spans="2:6" x14ac:dyDescent="0.3">
      <c r="B126" s="102" t="s">
        <v>434</v>
      </c>
      <c r="C126" s="102" t="s">
        <v>4245</v>
      </c>
      <c r="D126" s="103">
        <v>157</v>
      </c>
      <c r="E126" s="103">
        <v>440</v>
      </c>
      <c r="F126" s="104">
        <v>436</v>
      </c>
    </row>
    <row r="127" spans="2:6" x14ac:dyDescent="0.3">
      <c r="B127" s="102" t="s">
        <v>434</v>
      </c>
      <c r="C127" s="102" t="s">
        <v>4246</v>
      </c>
      <c r="D127" s="103">
        <v>788</v>
      </c>
      <c r="E127" s="103">
        <v>988</v>
      </c>
      <c r="F127" s="104">
        <v>673</v>
      </c>
    </row>
    <row r="128" spans="2:6" x14ac:dyDescent="0.3">
      <c r="B128" s="102" t="s">
        <v>434</v>
      </c>
      <c r="C128" s="102" t="s">
        <v>4247</v>
      </c>
      <c r="D128" s="103">
        <v>398</v>
      </c>
      <c r="E128" s="103">
        <v>454</v>
      </c>
      <c r="F128" s="104">
        <v>333</v>
      </c>
    </row>
    <row r="129" spans="2:6" x14ac:dyDescent="0.3">
      <c r="B129" s="102" t="s">
        <v>434</v>
      </c>
      <c r="C129" s="102" t="s">
        <v>4248</v>
      </c>
      <c r="D129" s="103">
        <v>796</v>
      </c>
      <c r="E129" s="103">
        <v>912</v>
      </c>
      <c r="F129" s="104">
        <v>687</v>
      </c>
    </row>
    <row r="130" spans="2:6" x14ac:dyDescent="0.3">
      <c r="B130" s="102" t="s">
        <v>434</v>
      </c>
      <c r="C130" s="102" t="s">
        <v>4249</v>
      </c>
      <c r="D130" s="103">
        <v>633</v>
      </c>
      <c r="E130" s="103">
        <v>1349</v>
      </c>
      <c r="F130" s="104">
        <v>564</v>
      </c>
    </row>
    <row r="131" spans="2:6" x14ac:dyDescent="0.3">
      <c r="B131" s="102" t="s">
        <v>434</v>
      </c>
      <c r="C131" s="102" t="s">
        <v>4250</v>
      </c>
      <c r="D131" s="103">
        <v>1018</v>
      </c>
      <c r="E131" s="103">
        <v>1622</v>
      </c>
      <c r="F131" s="104">
        <v>826</v>
      </c>
    </row>
    <row r="132" spans="2:6" x14ac:dyDescent="0.3">
      <c r="B132" s="102" t="s">
        <v>434</v>
      </c>
      <c r="C132" s="102" t="s">
        <v>4251</v>
      </c>
      <c r="D132" s="103">
        <v>356</v>
      </c>
      <c r="E132" s="103">
        <v>429</v>
      </c>
      <c r="F132" s="104">
        <v>621</v>
      </c>
    </row>
    <row r="133" spans="2:6" x14ac:dyDescent="0.3">
      <c r="B133" s="102" t="s">
        <v>434</v>
      </c>
      <c r="C133" s="102" t="s">
        <v>4252</v>
      </c>
      <c r="D133" s="103">
        <v>1173</v>
      </c>
      <c r="E133" s="103">
        <v>1342</v>
      </c>
      <c r="F133" s="104">
        <v>605</v>
      </c>
    </row>
    <row r="134" spans="2:6" x14ac:dyDescent="0.3">
      <c r="B134" s="102" t="s">
        <v>434</v>
      </c>
      <c r="C134" s="102" t="s">
        <v>4253</v>
      </c>
      <c r="D134" s="103">
        <v>729</v>
      </c>
      <c r="E134" s="103">
        <v>1085</v>
      </c>
      <c r="F134" s="104">
        <v>838</v>
      </c>
    </row>
    <row r="135" spans="2:6" x14ac:dyDescent="0.3">
      <c r="B135" s="102" t="s">
        <v>434</v>
      </c>
      <c r="C135" s="102" t="s">
        <v>4254</v>
      </c>
      <c r="D135" s="103">
        <v>935</v>
      </c>
      <c r="E135" s="103">
        <v>1436</v>
      </c>
      <c r="F135" s="104">
        <v>1237</v>
      </c>
    </row>
    <row r="136" spans="2:6" x14ac:dyDescent="0.3">
      <c r="B136" s="102" t="s">
        <v>434</v>
      </c>
      <c r="C136" s="102" t="s">
        <v>4255</v>
      </c>
      <c r="D136" s="103">
        <v>930</v>
      </c>
      <c r="E136" s="103">
        <v>1328</v>
      </c>
      <c r="F136" s="104">
        <v>1024</v>
      </c>
    </row>
    <row r="137" spans="2:6" x14ac:dyDescent="0.3">
      <c r="B137" s="102" t="s">
        <v>434</v>
      </c>
      <c r="C137" s="102" t="s">
        <v>4256</v>
      </c>
      <c r="D137" s="103">
        <v>1207</v>
      </c>
      <c r="E137" s="103">
        <v>1863</v>
      </c>
      <c r="F137" s="104">
        <v>1375</v>
      </c>
    </row>
    <row r="138" spans="2:6" x14ac:dyDescent="0.3">
      <c r="B138" s="102" t="s">
        <v>434</v>
      </c>
      <c r="C138" s="102" t="s">
        <v>4257</v>
      </c>
      <c r="D138" s="103">
        <v>1089</v>
      </c>
      <c r="E138" s="103">
        <v>1554</v>
      </c>
      <c r="F138" s="104">
        <v>945</v>
      </c>
    </row>
    <row r="139" spans="2:6" x14ac:dyDescent="0.3">
      <c r="B139" s="102" t="s">
        <v>434</v>
      </c>
      <c r="C139" s="102" t="s">
        <v>4258</v>
      </c>
      <c r="D139" s="103">
        <v>1179</v>
      </c>
      <c r="E139" s="103">
        <v>1541</v>
      </c>
      <c r="F139" s="104">
        <v>1136</v>
      </c>
    </row>
    <row r="140" spans="2:6" x14ac:dyDescent="0.3">
      <c r="B140" s="102" t="s">
        <v>434</v>
      </c>
      <c r="C140" s="102" t="s">
        <v>4259</v>
      </c>
      <c r="D140" s="103">
        <v>646</v>
      </c>
      <c r="E140" s="103">
        <v>1144</v>
      </c>
      <c r="F140" s="104">
        <v>1027</v>
      </c>
    </row>
    <row r="141" spans="2:6" x14ac:dyDescent="0.3">
      <c r="B141" s="102" t="s">
        <v>434</v>
      </c>
      <c r="C141" s="102" t="s">
        <v>4260</v>
      </c>
      <c r="D141" s="103">
        <v>689</v>
      </c>
      <c r="E141" s="103">
        <v>1352</v>
      </c>
      <c r="F141" s="104">
        <v>777</v>
      </c>
    </row>
    <row r="142" spans="2:6" x14ac:dyDescent="0.3">
      <c r="B142" s="102" t="s">
        <v>434</v>
      </c>
      <c r="C142" s="102" t="s">
        <v>4261</v>
      </c>
      <c r="D142" s="103">
        <v>92</v>
      </c>
      <c r="E142" s="103">
        <v>1393</v>
      </c>
      <c r="F142" s="104">
        <v>295</v>
      </c>
    </row>
    <row r="143" spans="2:6" x14ac:dyDescent="0.3">
      <c r="B143" s="102" t="s">
        <v>434</v>
      </c>
      <c r="C143" s="102" t="s">
        <v>4262</v>
      </c>
      <c r="D143" s="103">
        <v>361</v>
      </c>
      <c r="E143" s="103">
        <v>4109</v>
      </c>
      <c r="F143" s="104">
        <v>761</v>
      </c>
    </row>
    <row r="144" spans="2:6" x14ac:dyDescent="0.3">
      <c r="B144" s="102" t="s">
        <v>434</v>
      </c>
      <c r="C144" s="102" t="s">
        <v>4263</v>
      </c>
      <c r="D144" s="103">
        <v>148</v>
      </c>
      <c r="E144" s="103">
        <v>1510</v>
      </c>
      <c r="F144" s="104">
        <v>300</v>
      </c>
    </row>
    <row r="145" spans="2:6" x14ac:dyDescent="0.3">
      <c r="B145" s="102" t="s">
        <v>434</v>
      </c>
      <c r="C145" s="102" t="s">
        <v>4264</v>
      </c>
      <c r="D145" s="103">
        <v>367</v>
      </c>
      <c r="E145" s="103">
        <v>1942</v>
      </c>
      <c r="F145" s="104">
        <v>817</v>
      </c>
    </row>
    <row r="146" spans="2:6" x14ac:dyDescent="0.3">
      <c r="B146" s="102" t="s">
        <v>434</v>
      </c>
      <c r="C146" s="102" t="s">
        <v>4265</v>
      </c>
      <c r="D146" s="103">
        <v>96</v>
      </c>
      <c r="E146" s="103">
        <v>249</v>
      </c>
      <c r="F146" s="104">
        <v>191</v>
      </c>
    </row>
    <row r="147" spans="2:6" x14ac:dyDescent="0.3">
      <c r="B147" s="102" t="s">
        <v>434</v>
      </c>
      <c r="C147" s="102" t="s">
        <v>4266</v>
      </c>
      <c r="D147" s="103">
        <v>104</v>
      </c>
      <c r="E147" s="103">
        <v>281</v>
      </c>
      <c r="F147" s="104">
        <v>241</v>
      </c>
    </row>
    <row r="148" spans="2:6" x14ac:dyDescent="0.3">
      <c r="B148" s="102" t="s">
        <v>434</v>
      </c>
      <c r="C148" s="102" t="s">
        <v>4267</v>
      </c>
      <c r="D148" s="103">
        <v>152</v>
      </c>
      <c r="E148" s="103">
        <v>225</v>
      </c>
      <c r="F148" s="104">
        <v>215</v>
      </c>
    </row>
    <row r="149" spans="2:6" x14ac:dyDescent="0.3">
      <c r="B149" s="102" t="s">
        <v>434</v>
      </c>
      <c r="C149" s="102" t="s">
        <v>4268</v>
      </c>
      <c r="D149" s="103">
        <v>661</v>
      </c>
      <c r="E149" s="103">
        <v>1509</v>
      </c>
      <c r="F149" s="104">
        <v>818</v>
      </c>
    </row>
    <row r="150" spans="2:6" x14ac:dyDescent="0.3">
      <c r="B150" s="102" t="s">
        <v>434</v>
      </c>
      <c r="C150" s="102" t="s">
        <v>4269</v>
      </c>
      <c r="D150" s="103">
        <v>417</v>
      </c>
      <c r="E150" s="103">
        <v>591</v>
      </c>
      <c r="F150" s="104">
        <v>414</v>
      </c>
    </row>
    <row r="151" spans="2:6" x14ac:dyDescent="0.3">
      <c r="B151" s="102" t="s">
        <v>434</v>
      </c>
      <c r="C151" s="102" t="s">
        <v>4270</v>
      </c>
      <c r="D151" s="103">
        <v>588</v>
      </c>
      <c r="E151" s="103">
        <v>1036</v>
      </c>
      <c r="F151" s="104">
        <v>725</v>
      </c>
    </row>
    <row r="152" spans="2:6" x14ac:dyDescent="0.3">
      <c r="B152" s="102" t="s">
        <v>434</v>
      </c>
      <c r="C152" s="102" t="s">
        <v>4271</v>
      </c>
      <c r="D152" s="103">
        <v>99</v>
      </c>
      <c r="E152" s="103">
        <v>566</v>
      </c>
      <c r="F152" s="104">
        <v>200</v>
      </c>
    </row>
    <row r="153" spans="2:6" x14ac:dyDescent="0.3">
      <c r="B153" s="102" t="s">
        <v>434</v>
      </c>
      <c r="C153" s="102" t="s">
        <v>4272</v>
      </c>
      <c r="D153" s="103">
        <v>1113</v>
      </c>
      <c r="E153" s="103">
        <v>1539</v>
      </c>
      <c r="F153" s="104">
        <v>1209</v>
      </c>
    </row>
    <row r="154" spans="2:6" x14ac:dyDescent="0.3">
      <c r="B154" s="102" t="s">
        <v>434</v>
      </c>
      <c r="C154" s="102" t="s">
        <v>4273</v>
      </c>
      <c r="D154" s="103">
        <v>1462</v>
      </c>
      <c r="E154" s="103">
        <v>1993</v>
      </c>
      <c r="F154" s="104">
        <v>1444</v>
      </c>
    </row>
    <row r="155" spans="2:6" x14ac:dyDescent="0.3">
      <c r="B155" s="102" t="s">
        <v>434</v>
      </c>
      <c r="C155" s="102" t="s">
        <v>4274</v>
      </c>
      <c r="D155" s="103">
        <v>1094</v>
      </c>
      <c r="E155" s="103">
        <v>1924</v>
      </c>
      <c r="F155" s="104">
        <v>1466</v>
      </c>
    </row>
    <row r="156" spans="2:6" x14ac:dyDescent="0.3">
      <c r="B156" s="102" t="s">
        <v>434</v>
      </c>
      <c r="C156" s="102" t="s">
        <v>4275</v>
      </c>
      <c r="D156" s="103">
        <v>924</v>
      </c>
      <c r="E156" s="103">
        <v>1799</v>
      </c>
      <c r="F156" s="104">
        <v>1269</v>
      </c>
    </row>
    <row r="157" spans="2:6" x14ac:dyDescent="0.3">
      <c r="B157" s="102" t="s">
        <v>434</v>
      </c>
      <c r="C157" s="102" t="s">
        <v>4276</v>
      </c>
      <c r="D157" s="103">
        <v>0</v>
      </c>
      <c r="E157" s="103">
        <v>0</v>
      </c>
      <c r="F157" s="104">
        <v>0</v>
      </c>
    </row>
    <row r="158" spans="2:6" x14ac:dyDescent="0.3">
      <c r="B158" s="102" t="s">
        <v>434</v>
      </c>
      <c r="C158" s="102" t="s">
        <v>4277</v>
      </c>
      <c r="D158" s="103">
        <v>296</v>
      </c>
      <c r="E158" s="103">
        <v>443</v>
      </c>
      <c r="F158" s="104">
        <v>157</v>
      </c>
    </row>
    <row r="159" spans="2:6" x14ac:dyDescent="0.3">
      <c r="B159" s="102" t="s">
        <v>434</v>
      </c>
      <c r="C159" s="102" t="s">
        <v>4278</v>
      </c>
      <c r="D159" s="103">
        <v>858</v>
      </c>
      <c r="E159" s="103">
        <v>1562</v>
      </c>
      <c r="F159" s="104">
        <v>832</v>
      </c>
    </row>
    <row r="160" spans="2:6" x14ac:dyDescent="0.3">
      <c r="B160" s="102" t="s">
        <v>434</v>
      </c>
      <c r="C160" s="102" t="s">
        <v>4279</v>
      </c>
      <c r="D160" s="103">
        <v>487</v>
      </c>
      <c r="E160" s="103">
        <v>821</v>
      </c>
      <c r="F160" s="104">
        <v>556</v>
      </c>
    </row>
    <row r="161" spans="2:6" x14ac:dyDescent="0.3">
      <c r="B161" s="102" t="s">
        <v>434</v>
      </c>
      <c r="C161" s="102" t="s">
        <v>4280</v>
      </c>
      <c r="D161" s="103">
        <v>985</v>
      </c>
      <c r="E161" s="103">
        <v>2100</v>
      </c>
      <c r="F161" s="104">
        <v>1402</v>
      </c>
    </row>
    <row r="162" spans="2:6" x14ac:dyDescent="0.3">
      <c r="B162" s="102" t="s">
        <v>434</v>
      </c>
      <c r="C162" s="102" t="s">
        <v>4281</v>
      </c>
      <c r="D162" s="103">
        <v>430</v>
      </c>
      <c r="E162" s="103">
        <v>976</v>
      </c>
      <c r="F162" s="104">
        <v>616</v>
      </c>
    </row>
    <row r="163" spans="2:6" x14ac:dyDescent="0.3">
      <c r="B163" s="102" t="s">
        <v>434</v>
      </c>
      <c r="C163" s="102" t="s">
        <v>4282</v>
      </c>
      <c r="D163" s="103">
        <v>11</v>
      </c>
      <c r="E163" s="103">
        <v>4</v>
      </c>
      <c r="F163" s="104">
        <v>351</v>
      </c>
    </row>
    <row r="164" spans="2:6" x14ac:dyDescent="0.3">
      <c r="B164" s="102" t="s">
        <v>434</v>
      </c>
      <c r="C164" s="102" t="s">
        <v>4283</v>
      </c>
      <c r="D164" s="103">
        <v>370</v>
      </c>
      <c r="E164" s="103">
        <v>480</v>
      </c>
      <c r="F164" s="104">
        <v>398</v>
      </c>
    </row>
    <row r="165" spans="2:6" x14ac:dyDescent="0.3">
      <c r="B165" s="102" t="s">
        <v>434</v>
      </c>
      <c r="C165" s="102" t="s">
        <v>4284</v>
      </c>
      <c r="D165" s="103">
        <v>778</v>
      </c>
      <c r="E165" s="103">
        <v>1343</v>
      </c>
      <c r="F165" s="104">
        <v>1071</v>
      </c>
    </row>
    <row r="166" spans="2:6" x14ac:dyDescent="0.3">
      <c r="B166" s="102" t="s">
        <v>434</v>
      </c>
      <c r="C166" s="102" t="s">
        <v>4285</v>
      </c>
      <c r="D166" s="103">
        <v>783</v>
      </c>
      <c r="E166" s="103">
        <v>1429</v>
      </c>
      <c r="F166" s="104">
        <v>1018</v>
      </c>
    </row>
    <row r="167" spans="2:6" x14ac:dyDescent="0.3">
      <c r="B167" s="102" t="s">
        <v>434</v>
      </c>
      <c r="C167" s="102" t="s">
        <v>4286</v>
      </c>
      <c r="D167" s="103">
        <v>1376</v>
      </c>
      <c r="E167" s="103">
        <v>2314</v>
      </c>
      <c r="F167" s="104">
        <v>1440</v>
      </c>
    </row>
    <row r="168" spans="2:6" x14ac:dyDescent="0.3">
      <c r="B168" s="102" t="s">
        <v>434</v>
      </c>
      <c r="C168" s="102" t="s">
        <v>4287</v>
      </c>
      <c r="D168" s="103">
        <v>717</v>
      </c>
      <c r="E168" s="103">
        <v>1732</v>
      </c>
      <c r="F168" s="104">
        <v>1623</v>
      </c>
    </row>
    <row r="169" spans="2:6" x14ac:dyDescent="0.3">
      <c r="B169" s="102" t="s">
        <v>434</v>
      </c>
      <c r="C169" s="102" t="s">
        <v>4288</v>
      </c>
      <c r="D169" s="103">
        <v>301</v>
      </c>
      <c r="E169" s="103">
        <v>720</v>
      </c>
      <c r="F169" s="104">
        <v>629</v>
      </c>
    </row>
    <row r="170" spans="2:6" x14ac:dyDescent="0.3">
      <c r="B170" s="102" t="s">
        <v>434</v>
      </c>
      <c r="C170" s="102" t="s">
        <v>4289</v>
      </c>
      <c r="D170" s="103">
        <v>179</v>
      </c>
      <c r="E170" s="103">
        <v>303</v>
      </c>
      <c r="F170" s="104">
        <v>258</v>
      </c>
    </row>
    <row r="171" spans="2:6" x14ac:dyDescent="0.3">
      <c r="B171" s="102" t="s">
        <v>434</v>
      </c>
      <c r="C171" s="102" t="s">
        <v>4290</v>
      </c>
      <c r="D171" s="103">
        <v>919</v>
      </c>
      <c r="E171" s="103">
        <v>1445</v>
      </c>
      <c r="F171" s="104">
        <v>1250</v>
      </c>
    </row>
    <row r="172" spans="2:6" x14ac:dyDescent="0.3">
      <c r="B172" s="102" t="s">
        <v>434</v>
      </c>
      <c r="C172" s="102" t="s">
        <v>4291</v>
      </c>
      <c r="D172" s="103">
        <v>396</v>
      </c>
      <c r="E172" s="103">
        <v>704</v>
      </c>
      <c r="F172" s="104">
        <v>712</v>
      </c>
    </row>
    <row r="173" spans="2:6" x14ac:dyDescent="0.3">
      <c r="B173" s="102" t="s">
        <v>434</v>
      </c>
      <c r="C173" s="102" t="s">
        <v>4292</v>
      </c>
      <c r="D173" s="103">
        <v>387</v>
      </c>
      <c r="E173" s="103">
        <v>735</v>
      </c>
      <c r="F173" s="104">
        <v>677</v>
      </c>
    </row>
    <row r="174" spans="2:6" x14ac:dyDescent="0.3">
      <c r="B174" s="102" t="s">
        <v>434</v>
      </c>
      <c r="C174" s="102" t="s">
        <v>4293</v>
      </c>
      <c r="D174" s="103">
        <v>869</v>
      </c>
      <c r="E174" s="103">
        <v>1267</v>
      </c>
      <c r="F174" s="104">
        <v>801</v>
      </c>
    </row>
    <row r="175" spans="2:6" x14ac:dyDescent="0.3">
      <c r="B175" s="102" t="s">
        <v>434</v>
      </c>
      <c r="C175" s="102" t="s">
        <v>4294</v>
      </c>
      <c r="D175" s="103">
        <v>1500</v>
      </c>
      <c r="E175" s="103">
        <v>2104</v>
      </c>
      <c r="F175" s="104">
        <v>1570</v>
      </c>
    </row>
    <row r="176" spans="2:6" x14ac:dyDescent="0.3">
      <c r="B176" s="102" t="s">
        <v>434</v>
      </c>
      <c r="C176" s="102" t="s">
        <v>4295</v>
      </c>
      <c r="D176" s="103">
        <v>1064</v>
      </c>
      <c r="E176" s="103">
        <v>1509</v>
      </c>
      <c r="F176" s="104">
        <v>1126</v>
      </c>
    </row>
    <row r="177" spans="2:6" x14ac:dyDescent="0.3">
      <c r="B177" s="102" t="s">
        <v>434</v>
      </c>
      <c r="C177" s="102" t="s">
        <v>4296</v>
      </c>
      <c r="D177" s="103">
        <v>1272</v>
      </c>
      <c r="E177" s="103">
        <v>2058</v>
      </c>
      <c r="F177" s="104">
        <v>1702</v>
      </c>
    </row>
    <row r="178" spans="2:6" x14ac:dyDescent="0.3">
      <c r="B178" s="102" t="s">
        <v>434</v>
      </c>
      <c r="C178" s="102" t="s">
        <v>4297</v>
      </c>
      <c r="D178" s="103">
        <v>916</v>
      </c>
      <c r="E178" s="103">
        <v>1326</v>
      </c>
      <c r="F178" s="104">
        <v>840</v>
      </c>
    </row>
    <row r="179" spans="2:6" x14ac:dyDescent="0.3">
      <c r="B179" s="102" t="s">
        <v>434</v>
      </c>
      <c r="C179" s="102" t="s">
        <v>4298</v>
      </c>
      <c r="D179" s="103">
        <v>877</v>
      </c>
      <c r="E179" s="103">
        <v>1498</v>
      </c>
      <c r="F179" s="104">
        <v>1274</v>
      </c>
    </row>
    <row r="180" spans="2:6" x14ac:dyDescent="0.3">
      <c r="B180" s="102" t="s">
        <v>434</v>
      </c>
      <c r="C180" s="102" t="s">
        <v>4299</v>
      </c>
      <c r="D180" s="103">
        <v>716</v>
      </c>
      <c r="E180" s="103">
        <v>1119</v>
      </c>
      <c r="F180" s="104">
        <v>837</v>
      </c>
    </row>
    <row r="181" spans="2:6" x14ac:dyDescent="0.3">
      <c r="B181" s="102" t="s">
        <v>434</v>
      </c>
      <c r="C181" s="102" t="s">
        <v>4300</v>
      </c>
      <c r="D181" s="103">
        <v>772</v>
      </c>
      <c r="E181" s="103">
        <v>1410</v>
      </c>
      <c r="F181" s="104">
        <v>1199</v>
      </c>
    </row>
    <row r="182" spans="2:6" x14ac:dyDescent="0.3">
      <c r="B182" s="102" t="s">
        <v>434</v>
      </c>
      <c r="C182" s="102" t="s">
        <v>4301</v>
      </c>
      <c r="D182" s="103">
        <v>1190</v>
      </c>
      <c r="E182" s="103">
        <v>1969</v>
      </c>
      <c r="F182" s="104">
        <v>1597</v>
      </c>
    </row>
  </sheetData>
  <mergeCells count="1">
    <mergeCell ref="D23:F2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D2C6F-1B2A-492F-BB2E-3344422C813A}">
  <dimension ref="A1:H21"/>
  <sheetViews>
    <sheetView workbookViewId="0">
      <selection activeCell="L6" sqref="L6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B1" s="73" t="s">
        <v>4302</v>
      </c>
      <c r="C1" s="73" t="s">
        <v>4303</v>
      </c>
      <c r="D1" s="73" t="s">
        <v>4304</v>
      </c>
      <c r="E1" s="73" t="s">
        <v>4305</v>
      </c>
    </row>
    <row r="2" spans="1:8" x14ac:dyDescent="0.3">
      <c r="B2" s="74">
        <v>1</v>
      </c>
      <c r="C2" s="105">
        <v>8000</v>
      </c>
      <c r="D2" s="74" t="s">
        <v>4306</v>
      </c>
      <c r="E2" s="74">
        <v>10</v>
      </c>
    </row>
    <row r="3" spans="1:8" x14ac:dyDescent="0.3">
      <c r="B3" s="74">
        <v>2</v>
      </c>
      <c r="C3" s="105">
        <v>11000</v>
      </c>
      <c r="D3" s="74" t="s">
        <v>4306</v>
      </c>
      <c r="E3" s="74">
        <v>9</v>
      </c>
    </row>
    <row r="4" spans="1:8" x14ac:dyDescent="0.3">
      <c r="B4" s="74">
        <v>3</v>
      </c>
      <c r="C4" s="105">
        <v>6000</v>
      </c>
      <c r="D4" s="74" t="s">
        <v>4307</v>
      </c>
      <c r="E4" s="74">
        <v>5</v>
      </c>
    </row>
    <row r="5" spans="1:8" x14ac:dyDescent="0.3">
      <c r="B5" s="74">
        <v>4</v>
      </c>
      <c r="C5" s="105">
        <v>15000</v>
      </c>
      <c r="D5" s="74" t="s">
        <v>4306</v>
      </c>
      <c r="E5" s="74">
        <v>10</v>
      </c>
    </row>
    <row r="6" spans="1:8" x14ac:dyDescent="0.3">
      <c r="B6" s="74">
        <v>5</v>
      </c>
      <c r="C6" s="105">
        <v>10000</v>
      </c>
      <c r="D6" s="74" t="s">
        <v>4307</v>
      </c>
      <c r="E6" s="74">
        <v>2</v>
      </c>
    </row>
    <row r="7" spans="1:8" x14ac:dyDescent="0.3">
      <c r="B7" s="74">
        <v>6</v>
      </c>
      <c r="C7" s="105">
        <v>15000</v>
      </c>
      <c r="D7" s="74" t="s">
        <v>4306</v>
      </c>
      <c r="E7" s="74">
        <v>5</v>
      </c>
    </row>
    <row r="8" spans="1:8" x14ac:dyDescent="0.3">
      <c r="B8" s="74">
        <v>7</v>
      </c>
      <c r="C8" s="105">
        <v>13000</v>
      </c>
      <c r="D8" s="74" t="s">
        <v>4306</v>
      </c>
      <c r="E8" s="74">
        <v>999</v>
      </c>
    </row>
    <row r="9" spans="1:8" x14ac:dyDescent="0.3">
      <c r="B9" s="74">
        <v>8</v>
      </c>
      <c r="C9" s="105">
        <v>8000</v>
      </c>
      <c r="D9" s="74" t="s">
        <v>4306</v>
      </c>
      <c r="E9" s="74">
        <v>2</v>
      </c>
    </row>
    <row r="10" spans="1:8" x14ac:dyDescent="0.3">
      <c r="B10" s="74">
        <v>9</v>
      </c>
      <c r="C10" s="105">
        <v>11000</v>
      </c>
      <c r="D10" s="74" t="s">
        <v>4307</v>
      </c>
      <c r="E10" s="74">
        <v>5</v>
      </c>
    </row>
    <row r="11" spans="1:8" x14ac:dyDescent="0.3">
      <c r="B11" s="74">
        <v>10</v>
      </c>
      <c r="C11" s="105">
        <v>9000</v>
      </c>
      <c r="D11" s="74" t="s">
        <v>4306</v>
      </c>
      <c r="E11" s="74">
        <v>6</v>
      </c>
    </row>
    <row r="14" spans="1:8" ht="15" thickBot="1" x14ac:dyDescent="0.35">
      <c r="B14" s="54" t="s">
        <v>4308</v>
      </c>
    </row>
    <row r="15" spans="1:8" ht="15" thickBot="1" x14ac:dyDescent="0.35">
      <c r="A15">
        <v>1</v>
      </c>
      <c r="B15" t="s">
        <v>4309</v>
      </c>
      <c r="H15" s="106">
        <f>SUMIF(D2:D11,"Yes",E2:E11)</f>
        <v>1041</v>
      </c>
    </row>
    <row r="16" spans="1:8" ht="15" thickBot="1" x14ac:dyDescent="0.35">
      <c r="A16">
        <v>2</v>
      </c>
      <c r="B16" t="s">
        <v>4310</v>
      </c>
      <c r="H16" s="106">
        <f>SUMIF(D2:D11,"No",E2:E11)</f>
        <v>12</v>
      </c>
    </row>
    <row r="17" spans="1:8" ht="15" thickBot="1" x14ac:dyDescent="0.35"/>
    <row r="18" spans="1:8" ht="15" thickBot="1" x14ac:dyDescent="0.35">
      <c r="A18">
        <v>3</v>
      </c>
      <c r="B18" t="s">
        <v>4311</v>
      </c>
      <c r="H18" s="106">
        <f>SUMIF(C2:C11,"&gt;10000",E2:E11)</f>
        <v>1028</v>
      </c>
    </row>
    <row r="19" spans="1:8" ht="15" thickBot="1" x14ac:dyDescent="0.35"/>
    <row r="20" spans="1:8" ht="15" thickBot="1" x14ac:dyDescent="0.35">
      <c r="A20">
        <v>4</v>
      </c>
      <c r="B20" t="s">
        <v>4312</v>
      </c>
      <c r="H20" s="106">
        <f>SUMIF(C2:C11,"&gt;10000",C2:C11)</f>
        <v>65000</v>
      </c>
    </row>
    <row r="21" spans="1:8" ht="15" thickBot="1" x14ac:dyDescent="0.35">
      <c r="A21">
        <v>5</v>
      </c>
      <c r="B21" t="s">
        <v>4313</v>
      </c>
      <c r="H21" s="106">
        <f>SUMIF(C2:C11,"&lt;9500",C2:C11)</f>
        <v>31000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5C72-3BE8-4C4C-B116-6FA3BCF45B84}">
  <dimension ref="A1:K48"/>
  <sheetViews>
    <sheetView workbookViewId="0">
      <selection activeCell="J15" sqref="J15"/>
    </sheetView>
  </sheetViews>
  <sheetFormatPr defaultColWidth="8.6640625" defaultRowHeight="13.8" outlineLevelRow="1" x14ac:dyDescent="0.3"/>
  <cols>
    <col min="1" max="1" width="1.6640625" style="107" bestFit="1" customWidth="1"/>
    <col min="2" max="2" width="18.109375" style="107" customWidth="1"/>
    <col min="3" max="3" width="12.33203125" style="107" bestFit="1" customWidth="1"/>
    <col min="4" max="4" width="8.44140625" style="107" bestFit="1" customWidth="1"/>
    <col min="5" max="5" width="11.44140625" style="107" bestFit="1" customWidth="1"/>
    <col min="6" max="16384" width="8.6640625" style="107"/>
  </cols>
  <sheetData>
    <row r="1" spans="1:5" x14ac:dyDescent="0.3">
      <c r="B1" s="108" t="s">
        <v>4314</v>
      </c>
    </row>
    <row r="2" spans="1:5" x14ac:dyDescent="0.3">
      <c r="B2" s="109" t="s">
        <v>1</v>
      </c>
      <c r="C2" s="109" t="s">
        <v>4315</v>
      </c>
      <c r="D2" s="109" t="s">
        <v>349</v>
      </c>
      <c r="E2" s="109" t="s">
        <v>4316</v>
      </c>
    </row>
    <row r="3" spans="1:5" x14ac:dyDescent="0.3">
      <c r="B3" s="110" t="s">
        <v>4317</v>
      </c>
      <c r="C3" s="110" t="s">
        <v>4318</v>
      </c>
      <c r="D3" s="110" t="s">
        <v>465</v>
      </c>
      <c r="E3" s="110">
        <v>28</v>
      </c>
    </row>
    <row r="4" spans="1:5" x14ac:dyDescent="0.3">
      <c r="B4" s="110" t="s">
        <v>4319</v>
      </c>
      <c r="C4" s="110" t="s">
        <v>4320</v>
      </c>
      <c r="D4" s="110" t="s">
        <v>4321</v>
      </c>
      <c r="E4" s="110">
        <v>8</v>
      </c>
    </row>
    <row r="5" spans="1:5" x14ac:dyDescent="0.3">
      <c r="B5" s="110" t="s">
        <v>4322</v>
      </c>
      <c r="C5" s="110" t="s">
        <v>4323</v>
      </c>
      <c r="D5" s="110" t="s">
        <v>465</v>
      </c>
      <c r="E5" s="110">
        <v>19</v>
      </c>
    </row>
    <row r="6" spans="1:5" x14ac:dyDescent="0.3">
      <c r="B6" s="110" t="s">
        <v>4324</v>
      </c>
      <c r="C6" s="110" t="s">
        <v>4325</v>
      </c>
      <c r="D6" s="110" t="s">
        <v>490</v>
      </c>
      <c r="E6" s="110">
        <v>2</v>
      </c>
    </row>
    <row r="7" spans="1:5" x14ac:dyDescent="0.3">
      <c r="B7" s="110" t="s">
        <v>4326</v>
      </c>
      <c r="C7" s="110" t="s">
        <v>4323</v>
      </c>
      <c r="D7" s="110" t="s">
        <v>748</v>
      </c>
      <c r="E7" s="110">
        <v>5</v>
      </c>
    </row>
    <row r="8" spans="1:5" x14ac:dyDescent="0.3">
      <c r="B8" s="110" t="s">
        <v>4327</v>
      </c>
      <c r="C8" s="110" t="s">
        <v>4320</v>
      </c>
      <c r="D8" s="110" t="s">
        <v>465</v>
      </c>
      <c r="E8" s="110">
        <v>9</v>
      </c>
    </row>
    <row r="9" spans="1:5" x14ac:dyDescent="0.3">
      <c r="B9" s="110" t="s">
        <v>4328</v>
      </c>
      <c r="C9" s="110" t="s">
        <v>4323</v>
      </c>
      <c r="D9" s="110" t="s">
        <v>4329</v>
      </c>
      <c r="E9" s="110">
        <v>18</v>
      </c>
    </row>
    <row r="10" spans="1:5" x14ac:dyDescent="0.3">
      <c r="B10" s="110" t="s">
        <v>4330</v>
      </c>
      <c r="C10" s="110" t="s">
        <v>4318</v>
      </c>
      <c r="D10" s="110" t="s">
        <v>465</v>
      </c>
      <c r="E10" s="110">
        <v>11</v>
      </c>
    </row>
    <row r="11" spans="1:5" x14ac:dyDescent="0.3">
      <c r="B11" s="110" t="s">
        <v>4331</v>
      </c>
      <c r="C11" s="110" t="s">
        <v>4325</v>
      </c>
      <c r="D11" s="110" t="s">
        <v>4332</v>
      </c>
      <c r="E11" s="110">
        <v>3</v>
      </c>
    </row>
    <row r="12" spans="1:5" x14ac:dyDescent="0.3">
      <c r="B12" s="110" t="s">
        <v>4333</v>
      </c>
      <c r="C12" s="110" t="s">
        <v>4320</v>
      </c>
      <c r="D12" s="110" t="s">
        <v>359</v>
      </c>
      <c r="E12" s="110">
        <v>15</v>
      </c>
    </row>
    <row r="14" spans="1:5" ht="14.4" x14ac:dyDescent="0.3">
      <c r="B14" s="111" t="s">
        <v>4334</v>
      </c>
      <c r="E14" s="112" t="s">
        <v>4335</v>
      </c>
    </row>
    <row r="16" spans="1:5" x14ac:dyDescent="0.3">
      <c r="A16" s="107">
        <v>1</v>
      </c>
      <c r="B16" s="113" t="s">
        <v>4336</v>
      </c>
    </row>
    <row r="17" spans="1:11" x14ac:dyDescent="0.3">
      <c r="C17" s="114" t="s">
        <v>4337</v>
      </c>
      <c r="D17" s="114"/>
    </row>
    <row r="18" spans="1:11" x14ac:dyDescent="0.3">
      <c r="B18" s="115" t="s">
        <v>114</v>
      </c>
      <c r="C18" s="116">
        <f>SUMIF(D3:D12,"USA",E3:E12)</f>
        <v>67</v>
      </c>
    </row>
    <row r="19" spans="1:11" hidden="1" outlineLevel="1" x14ac:dyDescent="0.3">
      <c r="B19" s="117"/>
      <c r="C19" s="117"/>
      <c r="D19" s="117"/>
      <c r="E19" s="117"/>
      <c r="F19" s="117"/>
      <c r="G19" s="117"/>
      <c r="H19" s="117"/>
      <c r="I19" s="117"/>
      <c r="J19" s="117"/>
      <c r="K19" s="117"/>
    </row>
    <row r="20" spans="1:11" hidden="1" outlineLevel="1" x14ac:dyDescent="0.3">
      <c r="B20" s="117"/>
      <c r="C20" s="117"/>
      <c r="D20" s="117"/>
      <c r="E20" s="117"/>
      <c r="F20" s="117"/>
      <c r="G20" s="117"/>
      <c r="H20" s="117"/>
      <c r="I20" s="117"/>
      <c r="J20" s="117"/>
      <c r="K20" s="117"/>
    </row>
    <row r="21" spans="1:11" hidden="1" outlineLevel="1" x14ac:dyDescent="0.3">
      <c r="B21" s="117"/>
      <c r="C21" s="117"/>
      <c r="D21" s="117"/>
      <c r="E21" s="117"/>
      <c r="F21" s="117"/>
      <c r="G21" s="117"/>
      <c r="H21" s="117"/>
      <c r="I21" s="117"/>
      <c r="J21" s="117"/>
      <c r="K21" s="117"/>
    </row>
    <row r="22" spans="1:11" hidden="1" outlineLevel="1" x14ac:dyDescent="0.3">
      <c r="B22" s="117"/>
      <c r="C22" s="117"/>
      <c r="D22" s="117"/>
      <c r="E22" s="117"/>
      <c r="F22" s="117"/>
      <c r="G22" s="117"/>
      <c r="H22" s="117"/>
      <c r="I22" s="117"/>
      <c r="J22" s="117"/>
      <c r="K22" s="117"/>
    </row>
    <row r="23" spans="1:11" hidden="1" outlineLevel="1" x14ac:dyDescent="0.3">
      <c r="B23" s="117"/>
      <c r="C23" s="117"/>
      <c r="D23" s="117"/>
      <c r="E23" s="117"/>
      <c r="F23" s="117"/>
      <c r="G23" s="117"/>
      <c r="H23" s="117"/>
      <c r="I23" s="117"/>
      <c r="J23" s="117"/>
      <c r="K23" s="117"/>
    </row>
    <row r="24" spans="1:11" hidden="1" outlineLevel="1" x14ac:dyDescent="0.3">
      <c r="B24" s="117"/>
      <c r="C24" s="117"/>
      <c r="D24" s="117"/>
      <c r="E24" s="117"/>
      <c r="F24" s="117"/>
      <c r="G24" s="117"/>
      <c r="H24" s="117"/>
      <c r="I24" s="117"/>
      <c r="J24" s="117"/>
      <c r="K24" s="117"/>
    </row>
    <row r="25" spans="1:11" hidden="1" outlineLevel="1" x14ac:dyDescent="0.3">
      <c r="B25" s="117"/>
      <c r="C25" s="117"/>
      <c r="D25" s="117"/>
      <c r="E25" s="117"/>
      <c r="F25" s="117"/>
      <c r="G25" s="117"/>
      <c r="H25" s="117"/>
      <c r="I25" s="117"/>
      <c r="J25" s="117"/>
      <c r="K25" s="117"/>
    </row>
    <row r="26" spans="1:11" collapsed="1" x14ac:dyDescent="0.3"/>
    <row r="27" spans="1:11" x14ac:dyDescent="0.3">
      <c r="A27" s="107">
        <v>2</v>
      </c>
      <c r="B27" s="113" t="s">
        <v>4338</v>
      </c>
    </row>
    <row r="28" spans="1:11" x14ac:dyDescent="0.3">
      <c r="C28" s="114" t="s">
        <v>4337</v>
      </c>
      <c r="D28" s="114"/>
    </row>
    <row r="29" spans="1:11" x14ac:dyDescent="0.3">
      <c r="B29" s="115" t="s">
        <v>114</v>
      </c>
      <c r="C29" s="116">
        <f>SUMIF(C3:C12,"Figure Skating",E3:E12)</f>
        <v>5</v>
      </c>
    </row>
    <row r="30" spans="1:11" hidden="1" outlineLevel="1" x14ac:dyDescent="0.3">
      <c r="B30" s="117"/>
      <c r="C30" s="117"/>
      <c r="D30" s="117"/>
      <c r="E30" s="117"/>
      <c r="F30" s="117"/>
      <c r="G30" s="117"/>
      <c r="H30" s="117"/>
      <c r="I30" s="117"/>
      <c r="J30" s="117"/>
      <c r="K30" s="117"/>
    </row>
    <row r="31" spans="1:11" hidden="1" outlineLevel="1" x14ac:dyDescent="0.3">
      <c r="B31" s="117"/>
      <c r="C31" s="117"/>
      <c r="D31" s="117"/>
      <c r="E31" s="117"/>
      <c r="F31" s="117"/>
      <c r="G31" s="117"/>
      <c r="H31" s="117"/>
      <c r="I31" s="117"/>
      <c r="J31" s="117"/>
      <c r="K31" s="117"/>
    </row>
    <row r="32" spans="1:11" hidden="1" outlineLevel="1" x14ac:dyDescent="0.3">
      <c r="B32" s="117"/>
      <c r="C32" s="117"/>
      <c r="D32" s="117"/>
      <c r="E32" s="117"/>
      <c r="F32" s="117"/>
      <c r="G32" s="117"/>
      <c r="H32" s="117"/>
      <c r="I32" s="117"/>
      <c r="J32" s="117"/>
      <c r="K32" s="117"/>
    </row>
    <row r="33" spans="1:11" hidden="1" outlineLevel="1" x14ac:dyDescent="0.3">
      <c r="B33" s="117"/>
      <c r="C33" s="117"/>
      <c r="D33" s="117"/>
      <c r="E33" s="117"/>
      <c r="F33" s="117"/>
      <c r="G33" s="117"/>
      <c r="H33" s="117"/>
      <c r="I33" s="117"/>
      <c r="J33" s="117"/>
      <c r="K33" s="117"/>
    </row>
    <row r="34" spans="1:11" hidden="1" outlineLevel="1" x14ac:dyDescent="0.3">
      <c r="B34" s="117"/>
      <c r="C34" s="117"/>
      <c r="D34" s="117"/>
      <c r="E34" s="117"/>
      <c r="F34" s="117"/>
      <c r="G34" s="117"/>
      <c r="H34" s="117"/>
      <c r="I34" s="117"/>
      <c r="J34" s="117"/>
      <c r="K34" s="117"/>
    </row>
    <row r="35" spans="1:11" hidden="1" outlineLevel="1" x14ac:dyDescent="0.3">
      <c r="B35" s="117"/>
      <c r="C35" s="117"/>
      <c r="D35" s="117"/>
      <c r="E35" s="117"/>
      <c r="F35" s="117"/>
      <c r="G35" s="117"/>
      <c r="H35" s="117"/>
      <c r="I35" s="117"/>
      <c r="J35" s="117"/>
      <c r="K35" s="117"/>
    </row>
    <row r="36" spans="1:11" hidden="1" outlineLevel="1" x14ac:dyDescent="0.3">
      <c r="B36" s="117"/>
      <c r="C36" s="117"/>
      <c r="D36" s="117"/>
      <c r="E36" s="117"/>
      <c r="F36" s="117"/>
      <c r="G36" s="117"/>
      <c r="H36" s="117"/>
      <c r="I36" s="117"/>
      <c r="J36" s="117"/>
      <c r="K36" s="117"/>
    </row>
    <row r="37" spans="1:11" collapsed="1" x14ac:dyDescent="0.3"/>
    <row r="38" spans="1:11" x14ac:dyDescent="0.3">
      <c r="A38" s="107">
        <v>2</v>
      </c>
      <c r="B38" s="113" t="s">
        <v>4339</v>
      </c>
    </row>
    <row r="39" spans="1:11" x14ac:dyDescent="0.3">
      <c r="C39" s="114" t="s">
        <v>4337</v>
      </c>
      <c r="D39" s="114"/>
    </row>
    <row r="40" spans="1:11" x14ac:dyDescent="0.3">
      <c r="B40" s="115" t="s">
        <v>114</v>
      </c>
      <c r="C40" s="116">
        <f>SUM(E40:F40)</f>
        <v>75</v>
      </c>
      <c r="E40" s="107">
        <f>SUMIF(D3:D12,"USA",E3:E12)</f>
        <v>67</v>
      </c>
      <c r="F40" s="107">
        <f>SUMIF(D3:D12,"Jamaica",E3:E12)</f>
        <v>8</v>
      </c>
    </row>
    <row r="41" spans="1:11" ht="13.8" hidden="1" customHeight="1" outlineLevel="1" x14ac:dyDescent="0.3">
      <c r="B41" s="118"/>
      <c r="C41" s="118"/>
      <c r="D41" s="118"/>
      <c r="H41" s="118"/>
      <c r="I41" s="118"/>
      <c r="J41" s="118"/>
      <c r="K41" s="118"/>
    </row>
    <row r="42" spans="1:11" ht="13.8" hidden="1" customHeight="1" outlineLevel="1" x14ac:dyDescent="0.3">
      <c r="B42" s="118"/>
      <c r="C42" s="118"/>
      <c r="D42" s="118"/>
      <c r="E42" s="118"/>
      <c r="F42" s="118"/>
      <c r="G42" s="118"/>
      <c r="H42" s="118"/>
      <c r="I42" s="118"/>
      <c r="J42" s="118"/>
      <c r="K42" s="118"/>
    </row>
    <row r="43" spans="1:11" ht="13.8" hidden="1" customHeight="1" outlineLevel="1" x14ac:dyDescent="0.3">
      <c r="B43" s="118"/>
      <c r="C43" s="118"/>
      <c r="D43" s="118"/>
      <c r="E43" s="118"/>
      <c r="F43" s="118"/>
      <c r="G43" s="118"/>
      <c r="H43" s="118"/>
      <c r="I43" s="118"/>
      <c r="J43" s="118"/>
      <c r="K43" s="118"/>
    </row>
    <row r="44" spans="1:11" ht="13.8" hidden="1" customHeight="1" outlineLevel="1" x14ac:dyDescent="0.3">
      <c r="B44" s="118"/>
      <c r="C44" s="118"/>
      <c r="D44" s="118"/>
      <c r="E44" s="118"/>
      <c r="F44" s="118"/>
      <c r="G44" s="118"/>
      <c r="H44" s="118"/>
      <c r="I44" s="118"/>
      <c r="J44" s="118"/>
      <c r="K44" s="118"/>
    </row>
    <row r="45" spans="1:11" ht="13.8" hidden="1" customHeight="1" outlineLevel="1" x14ac:dyDescent="0.3">
      <c r="B45" s="118"/>
      <c r="C45" s="118"/>
      <c r="D45" s="118"/>
      <c r="E45" s="118"/>
      <c r="F45" s="118"/>
      <c r="G45" s="118"/>
      <c r="H45" s="118"/>
      <c r="I45" s="118"/>
      <c r="J45" s="118"/>
      <c r="K45" s="118"/>
    </row>
    <row r="46" spans="1:11" ht="13.8" hidden="1" customHeight="1" outlineLevel="1" x14ac:dyDescent="0.3">
      <c r="B46" s="118"/>
      <c r="C46" s="118"/>
      <c r="D46" s="118"/>
      <c r="E46" s="118"/>
      <c r="F46" s="118"/>
      <c r="G46" s="118"/>
      <c r="H46" s="118"/>
      <c r="I46" s="118"/>
      <c r="J46" s="118"/>
      <c r="K46" s="118"/>
    </row>
    <row r="47" spans="1:11" ht="13.8" hidden="1" customHeight="1" outlineLevel="1" x14ac:dyDescent="0.3">
      <c r="B47" s="118"/>
      <c r="C47" s="118"/>
      <c r="D47" s="118"/>
      <c r="E47" s="118"/>
      <c r="F47" s="118"/>
      <c r="G47" s="118"/>
      <c r="H47" s="118"/>
      <c r="I47" s="118"/>
      <c r="J47" s="118"/>
      <c r="K47" s="118"/>
    </row>
    <row r="48" spans="1:11" collapsed="1" x14ac:dyDescent="0.3">
      <c r="C48" s="107" t="s">
        <v>4341</v>
      </c>
      <c r="E48" s="107" t="s">
        <v>465</v>
      </c>
      <c r="F48" s="107" t="s">
        <v>4340</v>
      </c>
    </row>
  </sheetData>
  <mergeCells count="2">
    <mergeCell ref="B19:K25"/>
    <mergeCell ref="B30:K36"/>
  </mergeCells>
  <hyperlinks>
    <hyperlink ref="E14" location="'SUMIF2  Answers'!A1" display="'SUMIF2  Answers'!A1" xr:uid="{68136FE2-1150-433E-8B92-5BD34D7F3EE4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23731-BC10-4F31-B6CA-F774133D43C7}">
  <dimension ref="B2:E20"/>
  <sheetViews>
    <sheetView workbookViewId="0">
      <selection activeCell="B8" sqref="B8"/>
    </sheetView>
  </sheetViews>
  <sheetFormatPr defaultRowHeight="14.4" x14ac:dyDescent="0.3"/>
  <cols>
    <col min="2" max="2" width="53.44140625" bestFit="1" customWidth="1"/>
    <col min="4" max="4" width="3" bestFit="1" customWidth="1"/>
    <col min="5" max="5" width="40.44140625" style="120" bestFit="1" customWidth="1"/>
  </cols>
  <sheetData>
    <row r="2" spans="2:5" x14ac:dyDescent="0.3">
      <c r="B2" t="s">
        <v>4342</v>
      </c>
      <c r="D2" s="74" t="s">
        <v>4343</v>
      </c>
      <c r="E2" s="119" t="s">
        <v>4344</v>
      </c>
    </row>
    <row r="3" spans="2:5" x14ac:dyDescent="0.3">
      <c r="B3" t="s">
        <v>4345</v>
      </c>
      <c r="D3" s="74" t="s">
        <v>4346</v>
      </c>
      <c r="E3" s="119" t="s">
        <v>4347</v>
      </c>
    </row>
    <row r="4" spans="2:5" x14ac:dyDescent="0.3">
      <c r="B4" t="s">
        <v>4348</v>
      </c>
      <c r="D4" s="74" t="s">
        <v>4349</v>
      </c>
      <c r="E4" s="119" t="s">
        <v>4350</v>
      </c>
    </row>
    <row r="5" spans="2:5" x14ac:dyDescent="0.3">
      <c r="B5" t="s">
        <v>4351</v>
      </c>
      <c r="D5" s="74" t="s">
        <v>4352</v>
      </c>
      <c r="E5" s="119" t="s">
        <v>4353</v>
      </c>
    </row>
    <row r="6" spans="2:5" ht="28.8" x14ac:dyDescent="0.3">
      <c r="B6" t="s">
        <v>4354</v>
      </c>
      <c r="D6" s="74" t="s">
        <v>4355</v>
      </c>
      <c r="E6" s="119" t="s">
        <v>4356</v>
      </c>
    </row>
    <row r="7" spans="2:5" x14ac:dyDescent="0.3">
      <c r="B7" t="s">
        <v>4357</v>
      </c>
    </row>
    <row r="8" spans="2:5" x14ac:dyDescent="0.3">
      <c r="B8" t="s">
        <v>4358</v>
      </c>
    </row>
    <row r="9" spans="2:5" x14ac:dyDescent="0.3">
      <c r="B9" t="s">
        <v>4359</v>
      </c>
    </row>
    <row r="10" spans="2:5" x14ac:dyDescent="0.3">
      <c r="B10" t="s">
        <v>4360</v>
      </c>
    </row>
    <row r="11" spans="2:5" x14ac:dyDescent="0.3">
      <c r="B11" t="s">
        <v>4361</v>
      </c>
    </row>
    <row r="12" spans="2:5" x14ac:dyDescent="0.3">
      <c r="B12" t="s">
        <v>4362</v>
      </c>
    </row>
    <row r="13" spans="2:5" x14ac:dyDescent="0.3">
      <c r="B13" t="s">
        <v>4363</v>
      </c>
    </row>
    <row r="14" spans="2:5" x14ac:dyDescent="0.3">
      <c r="B14" t="s">
        <v>4364</v>
      </c>
    </row>
    <row r="15" spans="2:5" x14ac:dyDescent="0.3">
      <c r="B15" t="s">
        <v>4365</v>
      </c>
    </row>
    <row r="16" spans="2:5" x14ac:dyDescent="0.3">
      <c r="B16" t="s">
        <v>4366</v>
      </c>
    </row>
    <row r="17" spans="2:2" x14ac:dyDescent="0.3">
      <c r="B17" t="s">
        <v>4367</v>
      </c>
    </row>
    <row r="18" spans="2:2" x14ac:dyDescent="0.3">
      <c r="B18" t="s">
        <v>4368</v>
      </c>
    </row>
    <row r="19" spans="2:2" x14ac:dyDescent="0.3">
      <c r="B19" t="s">
        <v>4369</v>
      </c>
    </row>
    <row r="20" spans="2:2" x14ac:dyDescent="0.3">
      <c r="B20" t="s">
        <v>4370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62997-03A7-4BD8-85F8-0AEDFF21E8EB}">
  <dimension ref="A1:G19"/>
  <sheetViews>
    <sheetView workbookViewId="0">
      <selection activeCell="L8" sqref="L8"/>
    </sheetView>
  </sheetViews>
  <sheetFormatPr defaultRowHeight="14.4" x14ac:dyDescent="0.3"/>
  <cols>
    <col min="1" max="1" width="7.88671875" bestFit="1" customWidth="1"/>
  </cols>
  <sheetData>
    <row r="1" spans="1:7" x14ac:dyDescent="0.3">
      <c r="A1" s="121" t="s">
        <v>4371</v>
      </c>
      <c r="B1" s="121" t="s">
        <v>1</v>
      </c>
      <c r="C1" s="121" t="s">
        <v>4372</v>
      </c>
      <c r="D1" s="121" t="s">
        <v>4373</v>
      </c>
      <c r="E1" s="121" t="s">
        <v>4374</v>
      </c>
      <c r="F1" s="121" t="s">
        <v>4375</v>
      </c>
      <c r="G1" s="121" t="s">
        <v>4376</v>
      </c>
    </row>
    <row r="2" spans="1:7" x14ac:dyDescent="0.3">
      <c r="A2" s="73">
        <v>11280</v>
      </c>
      <c r="B2" s="74" t="s">
        <v>4377</v>
      </c>
      <c r="C2" s="74" t="s">
        <v>4378</v>
      </c>
      <c r="D2" s="74">
        <v>15</v>
      </c>
      <c r="E2" s="74">
        <v>30000</v>
      </c>
      <c r="F2" s="74">
        <v>450000</v>
      </c>
      <c r="G2" s="74" t="str">
        <f>IF(D2&gt;20,"20%","0%")</f>
        <v>0%</v>
      </c>
    </row>
    <row r="3" spans="1:7" x14ac:dyDescent="0.3">
      <c r="A3" s="73">
        <v>11281</v>
      </c>
      <c r="B3" s="74" t="s">
        <v>4379</v>
      </c>
      <c r="C3" s="74" t="s">
        <v>4380</v>
      </c>
      <c r="D3" s="74">
        <v>10</v>
      </c>
      <c r="E3" s="74">
        <v>25000</v>
      </c>
      <c r="F3" s="74">
        <v>250000</v>
      </c>
      <c r="G3" s="74" t="str">
        <f t="shared" ref="G3:G19" si="0">IF(D3&gt;20,"20%","0%")</f>
        <v>0%</v>
      </c>
    </row>
    <row r="4" spans="1:7" x14ac:dyDescent="0.3">
      <c r="A4" s="73">
        <v>11282</v>
      </c>
      <c r="B4" s="74" t="s">
        <v>4381</v>
      </c>
      <c r="C4" s="74" t="s">
        <v>4382</v>
      </c>
      <c r="D4" s="74">
        <v>150</v>
      </c>
      <c r="E4" s="74">
        <v>28000</v>
      </c>
      <c r="F4" s="74">
        <v>4200000</v>
      </c>
      <c r="G4" s="74" t="str">
        <f t="shared" si="0"/>
        <v>20%</v>
      </c>
    </row>
    <row r="5" spans="1:7" x14ac:dyDescent="0.3">
      <c r="A5" s="73">
        <v>11283</v>
      </c>
      <c r="B5" s="74" t="s">
        <v>4383</v>
      </c>
      <c r="C5" s="74" t="s">
        <v>4384</v>
      </c>
      <c r="D5" s="74">
        <v>12</v>
      </c>
      <c r="E5" s="74">
        <v>30000</v>
      </c>
      <c r="F5" s="74">
        <v>360000</v>
      </c>
      <c r="G5" s="74" t="str">
        <f t="shared" si="0"/>
        <v>0%</v>
      </c>
    </row>
    <row r="6" spans="1:7" x14ac:dyDescent="0.3">
      <c r="A6" s="73">
        <v>11284</v>
      </c>
      <c r="B6" s="74" t="s">
        <v>4385</v>
      </c>
      <c r="C6" s="74" t="s">
        <v>4386</v>
      </c>
      <c r="D6" s="74">
        <v>20</v>
      </c>
      <c r="E6" s="74">
        <v>30000</v>
      </c>
      <c r="F6" s="74">
        <v>600000</v>
      </c>
      <c r="G6" s="74" t="str">
        <f t="shared" si="0"/>
        <v>0%</v>
      </c>
    </row>
    <row r="7" spans="1:7" x14ac:dyDescent="0.3">
      <c r="A7" s="73">
        <v>11285</v>
      </c>
      <c r="B7" s="74" t="s">
        <v>4387</v>
      </c>
      <c r="C7" s="74" t="s">
        <v>4388</v>
      </c>
      <c r="D7" s="74">
        <v>20</v>
      </c>
      <c r="E7" s="74">
        <v>26000</v>
      </c>
      <c r="F7" s="74">
        <v>520000</v>
      </c>
      <c r="G7" s="74" t="str">
        <f t="shared" si="0"/>
        <v>0%</v>
      </c>
    </row>
    <row r="8" spans="1:7" x14ac:dyDescent="0.3">
      <c r="A8" s="73">
        <v>11286</v>
      </c>
      <c r="B8" s="74" t="s">
        <v>4389</v>
      </c>
      <c r="C8" s="74" t="s">
        <v>4390</v>
      </c>
      <c r="D8" s="74">
        <v>2</v>
      </c>
      <c r="E8" s="74">
        <v>30000</v>
      </c>
      <c r="F8" s="74">
        <v>60000</v>
      </c>
      <c r="G8" s="74" t="str">
        <f t="shared" si="0"/>
        <v>0%</v>
      </c>
    </row>
    <row r="9" spans="1:7" x14ac:dyDescent="0.3">
      <c r="A9" s="73">
        <v>11287</v>
      </c>
      <c r="B9" s="74" t="s">
        <v>4391</v>
      </c>
      <c r="C9" s="74" t="s">
        <v>4392</v>
      </c>
      <c r="D9" s="74">
        <v>5</v>
      </c>
      <c r="E9" s="74">
        <v>35000</v>
      </c>
      <c r="F9" s="74">
        <v>175000</v>
      </c>
      <c r="G9" s="74" t="str">
        <f t="shared" si="0"/>
        <v>0%</v>
      </c>
    </row>
    <row r="10" spans="1:7" x14ac:dyDescent="0.3">
      <c r="A10" s="73">
        <v>11288</v>
      </c>
      <c r="B10" s="74" t="s">
        <v>4393</v>
      </c>
      <c r="C10" s="74" t="s">
        <v>4394</v>
      </c>
      <c r="D10" s="74">
        <v>80</v>
      </c>
      <c r="E10" s="74">
        <v>30000</v>
      </c>
      <c r="F10" s="74">
        <v>2400000</v>
      </c>
      <c r="G10" s="74" t="str">
        <f t="shared" si="0"/>
        <v>20%</v>
      </c>
    </row>
    <row r="11" spans="1:7" x14ac:dyDescent="0.3">
      <c r="A11" s="73">
        <v>11289</v>
      </c>
      <c r="B11" s="74" t="s">
        <v>4395</v>
      </c>
      <c r="C11" s="74" t="s">
        <v>4396</v>
      </c>
      <c r="D11" s="74">
        <v>100</v>
      </c>
      <c r="E11" s="74">
        <v>26000</v>
      </c>
      <c r="F11" s="74">
        <v>2600000</v>
      </c>
      <c r="G11" s="74" t="str">
        <f t="shared" si="0"/>
        <v>20%</v>
      </c>
    </row>
    <row r="12" spans="1:7" x14ac:dyDescent="0.3">
      <c r="A12" s="73">
        <v>11290</v>
      </c>
      <c r="B12" s="74" t="s">
        <v>4397</v>
      </c>
      <c r="C12" s="74" t="s">
        <v>4398</v>
      </c>
      <c r="D12" s="74">
        <v>20</v>
      </c>
      <c r="E12" s="74">
        <v>35000</v>
      </c>
      <c r="F12" s="74">
        <v>700000</v>
      </c>
      <c r="G12" s="74" t="str">
        <f t="shared" si="0"/>
        <v>0%</v>
      </c>
    </row>
    <row r="13" spans="1:7" x14ac:dyDescent="0.3">
      <c r="A13" s="73">
        <v>11291</v>
      </c>
      <c r="B13" s="74" t="s">
        <v>4399</v>
      </c>
      <c r="C13" s="74" t="s">
        <v>4400</v>
      </c>
      <c r="D13" s="74">
        <v>25</v>
      </c>
      <c r="E13" s="74">
        <v>40000</v>
      </c>
      <c r="F13" s="74">
        <v>1000000</v>
      </c>
      <c r="G13" s="74" t="str">
        <f t="shared" si="0"/>
        <v>20%</v>
      </c>
    </row>
    <row r="14" spans="1:7" x14ac:dyDescent="0.3">
      <c r="A14" s="73">
        <v>11292</v>
      </c>
      <c r="B14" s="74" t="s">
        <v>4401</v>
      </c>
      <c r="C14" s="74" t="s">
        <v>4382</v>
      </c>
      <c r="D14" s="74">
        <v>10</v>
      </c>
      <c r="E14" s="74">
        <v>28000</v>
      </c>
      <c r="F14" s="74">
        <v>280000</v>
      </c>
      <c r="G14" s="74" t="str">
        <f t="shared" si="0"/>
        <v>0%</v>
      </c>
    </row>
    <row r="15" spans="1:7" x14ac:dyDescent="0.3">
      <c r="A15" s="73">
        <v>11293</v>
      </c>
      <c r="B15" s="74" t="s">
        <v>4402</v>
      </c>
      <c r="C15" s="74" t="s">
        <v>4384</v>
      </c>
      <c r="D15" s="74">
        <v>10</v>
      </c>
      <c r="E15" s="74">
        <v>30000</v>
      </c>
      <c r="F15" s="74">
        <v>300000</v>
      </c>
      <c r="G15" s="74" t="str">
        <f t="shared" si="0"/>
        <v>0%</v>
      </c>
    </row>
    <row r="16" spans="1:7" x14ac:dyDescent="0.3">
      <c r="A16" s="73">
        <v>11294</v>
      </c>
      <c r="B16" s="74" t="s">
        <v>4403</v>
      </c>
      <c r="C16" s="74" t="s">
        <v>4386</v>
      </c>
      <c r="D16" s="74">
        <v>5</v>
      </c>
      <c r="E16" s="74">
        <v>30000</v>
      </c>
      <c r="F16" s="74">
        <v>150000</v>
      </c>
      <c r="G16" s="74" t="str">
        <f t="shared" si="0"/>
        <v>0%</v>
      </c>
    </row>
    <row r="17" spans="1:7" x14ac:dyDescent="0.3">
      <c r="A17" s="73">
        <v>11295</v>
      </c>
      <c r="B17" s="74" t="s">
        <v>4404</v>
      </c>
      <c r="C17" s="74" t="s">
        <v>4388</v>
      </c>
      <c r="D17" s="74">
        <v>180</v>
      </c>
      <c r="E17" s="74">
        <v>26000</v>
      </c>
      <c r="F17" s="74">
        <v>4680000</v>
      </c>
      <c r="G17" s="74" t="str">
        <f t="shared" si="0"/>
        <v>20%</v>
      </c>
    </row>
    <row r="18" spans="1:7" x14ac:dyDescent="0.3">
      <c r="A18" s="73">
        <v>11296</v>
      </c>
      <c r="B18" s="74" t="s">
        <v>4405</v>
      </c>
      <c r="C18" s="74" t="s">
        <v>4390</v>
      </c>
      <c r="D18" s="74">
        <v>5</v>
      </c>
      <c r="E18" s="74">
        <v>30000</v>
      </c>
      <c r="F18" s="74">
        <v>150000</v>
      </c>
      <c r="G18" s="74" t="str">
        <f t="shared" si="0"/>
        <v>0%</v>
      </c>
    </row>
    <row r="19" spans="1:7" x14ac:dyDescent="0.3">
      <c r="A19" s="73">
        <v>11297</v>
      </c>
      <c r="B19" s="74" t="s">
        <v>4406</v>
      </c>
      <c r="C19" s="74" t="s">
        <v>4392</v>
      </c>
      <c r="D19" s="74">
        <v>250</v>
      </c>
      <c r="E19" s="74">
        <v>35000</v>
      </c>
      <c r="F19" s="74">
        <v>8750000</v>
      </c>
      <c r="G19" s="74" t="str">
        <f t="shared" si="0"/>
        <v>20%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BFA6-54AA-4049-981E-744B4513ADD1}">
  <dimension ref="A1:H27"/>
  <sheetViews>
    <sheetView workbookViewId="0">
      <selection activeCell="L13" sqref="L13"/>
    </sheetView>
  </sheetViews>
  <sheetFormatPr defaultRowHeight="14.4" x14ac:dyDescent="0.3"/>
  <cols>
    <col min="1" max="1" width="10.88671875" bestFit="1" customWidth="1"/>
    <col min="2" max="2" width="14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8" x14ac:dyDescent="0.3">
      <c r="A1" t="s">
        <v>4407</v>
      </c>
    </row>
    <row r="2" spans="1:8" x14ac:dyDescent="0.3">
      <c r="A2" t="s">
        <v>4408</v>
      </c>
    </row>
    <row r="4" spans="1:8" x14ac:dyDescent="0.3">
      <c r="G4" s="54" t="s">
        <v>4409</v>
      </c>
    </row>
    <row r="6" spans="1:8" x14ac:dyDescent="0.3">
      <c r="G6" s="122" t="s">
        <v>351</v>
      </c>
      <c r="H6" s="122" t="s">
        <v>4410</v>
      </c>
    </row>
    <row r="7" spans="1:8" x14ac:dyDescent="0.3">
      <c r="A7" s="54" t="s">
        <v>351</v>
      </c>
      <c r="B7" s="54" t="s">
        <v>4410</v>
      </c>
      <c r="G7" s="123">
        <v>44197</v>
      </c>
      <c r="H7" s="124">
        <v>1.3671</v>
      </c>
    </row>
    <row r="8" spans="1:8" x14ac:dyDescent="0.3">
      <c r="A8" s="125">
        <v>44201</v>
      </c>
      <c r="B8" s="126">
        <f>VLOOKUP(G9,G7:H27,2,)</f>
        <v>1.3624000000000001</v>
      </c>
      <c r="G8" s="123">
        <v>44200</v>
      </c>
      <c r="H8" s="124">
        <v>1.3569</v>
      </c>
    </row>
    <row r="9" spans="1:8" x14ac:dyDescent="0.3">
      <c r="A9" s="125">
        <v>44211</v>
      </c>
      <c r="B9" s="126">
        <f>VLOOKUP(G17,G7:H27,2,)</f>
        <v>1.3586</v>
      </c>
      <c r="G9" s="123">
        <v>44201</v>
      </c>
      <c r="H9" s="124">
        <v>1.3624000000000001</v>
      </c>
    </row>
    <row r="10" spans="1:8" x14ac:dyDescent="0.3">
      <c r="A10" s="125">
        <v>44220</v>
      </c>
      <c r="B10" s="126"/>
      <c r="G10" s="123">
        <v>44202</v>
      </c>
      <c r="H10" s="124">
        <v>1.3607</v>
      </c>
    </row>
    <row r="11" spans="1:8" x14ac:dyDescent="0.3">
      <c r="G11" s="123">
        <v>44203</v>
      </c>
      <c r="H11" s="124">
        <v>1.3563000000000001</v>
      </c>
    </row>
    <row r="12" spans="1:8" x14ac:dyDescent="0.3">
      <c r="G12" s="123">
        <v>44204</v>
      </c>
      <c r="H12" s="124">
        <v>1.3563000000000001</v>
      </c>
    </row>
    <row r="13" spans="1:8" x14ac:dyDescent="0.3">
      <c r="G13" s="123">
        <v>44207</v>
      </c>
      <c r="H13" s="124">
        <v>1.3513999999999999</v>
      </c>
    </row>
    <row r="14" spans="1:8" x14ac:dyDescent="0.3">
      <c r="G14" s="123">
        <v>44208</v>
      </c>
      <c r="H14" s="124">
        <v>1.3663000000000001</v>
      </c>
    </row>
    <row r="15" spans="1:8" x14ac:dyDescent="0.3">
      <c r="G15" s="123">
        <v>44209</v>
      </c>
      <c r="H15" s="124">
        <v>1.3636999999999999</v>
      </c>
    </row>
    <row r="16" spans="1:8" x14ac:dyDescent="0.3">
      <c r="G16" s="123">
        <v>44210</v>
      </c>
      <c r="H16" s="124">
        <v>1.3687</v>
      </c>
    </row>
    <row r="17" spans="7:8" x14ac:dyDescent="0.3">
      <c r="G17" s="123">
        <v>44211</v>
      </c>
      <c r="H17" s="124">
        <v>1.3586</v>
      </c>
    </row>
    <row r="18" spans="7:8" x14ac:dyDescent="0.3">
      <c r="G18" s="123">
        <v>44214</v>
      </c>
      <c r="H18" s="124">
        <v>1.3584000000000001</v>
      </c>
    </row>
    <row r="19" spans="7:8" x14ac:dyDescent="0.3">
      <c r="G19" s="123">
        <v>44215</v>
      </c>
      <c r="H19" s="124">
        <v>1.3628</v>
      </c>
    </row>
    <row r="20" spans="7:8" x14ac:dyDescent="0.3">
      <c r="G20" s="123">
        <v>44216</v>
      </c>
      <c r="H20" s="124">
        <v>1.3653</v>
      </c>
    </row>
    <row r="21" spans="7:8" x14ac:dyDescent="0.3">
      <c r="G21" s="123">
        <v>44217</v>
      </c>
      <c r="H21" s="124">
        <v>1.3732</v>
      </c>
    </row>
    <row r="22" spans="7:8" x14ac:dyDescent="0.3">
      <c r="G22" s="123">
        <v>44218</v>
      </c>
      <c r="H22" s="124">
        <v>1.3684000000000001</v>
      </c>
    </row>
    <row r="23" spans="7:8" x14ac:dyDescent="0.3">
      <c r="G23" s="123">
        <v>44221</v>
      </c>
      <c r="H23" s="124">
        <v>1.3673999999999999</v>
      </c>
    </row>
    <row r="24" spans="7:8" x14ac:dyDescent="0.3">
      <c r="G24" s="123">
        <v>44222</v>
      </c>
      <c r="H24" s="124">
        <v>1.3733</v>
      </c>
    </row>
    <row r="25" spans="7:8" x14ac:dyDescent="0.3">
      <c r="G25" s="123">
        <v>44223</v>
      </c>
      <c r="H25" s="124">
        <v>1.3686</v>
      </c>
    </row>
    <row r="26" spans="7:8" x14ac:dyDescent="0.3">
      <c r="G26" s="123">
        <v>44224</v>
      </c>
      <c r="H26" s="124">
        <v>1.3717999999999999</v>
      </c>
    </row>
    <row r="27" spans="7:8" x14ac:dyDescent="0.3">
      <c r="G27" s="123">
        <v>44225</v>
      </c>
      <c r="H27" s="124">
        <v>1.3702000000000001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5D5EC-5A30-4AFC-BA31-79C19992D223}">
  <dimension ref="A1:L37"/>
  <sheetViews>
    <sheetView workbookViewId="0">
      <selection activeCell="C24" sqref="C24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27"/>
      <c r="B1" s="128" t="s">
        <v>4411</v>
      </c>
      <c r="C1" s="47"/>
      <c r="D1" s="47"/>
      <c r="E1" s="47"/>
      <c r="F1" s="76"/>
      <c r="G1" s="76"/>
      <c r="H1" s="76"/>
      <c r="I1" s="76"/>
    </row>
    <row r="2" spans="1:9" x14ac:dyDescent="0.3">
      <c r="A2" s="127"/>
      <c r="B2" s="76"/>
      <c r="C2" s="76"/>
      <c r="D2" s="76"/>
      <c r="E2" s="76"/>
      <c r="F2" s="76"/>
      <c r="G2" s="76"/>
      <c r="H2" s="76"/>
      <c r="I2" s="76"/>
    </row>
    <row r="3" spans="1:9" x14ac:dyDescent="0.3">
      <c r="A3" s="127"/>
      <c r="B3" s="129" t="s">
        <v>93</v>
      </c>
      <c r="C3" s="130" t="s">
        <v>1</v>
      </c>
      <c r="D3" s="130" t="s">
        <v>4412</v>
      </c>
      <c r="E3" s="130" t="s">
        <v>110</v>
      </c>
      <c r="F3" s="130" t="s">
        <v>144</v>
      </c>
      <c r="G3" s="76"/>
      <c r="H3" s="76"/>
      <c r="I3" s="76"/>
    </row>
    <row r="4" spans="1:9" x14ac:dyDescent="0.3">
      <c r="A4" s="127"/>
      <c r="B4" s="131">
        <v>56815</v>
      </c>
      <c r="C4" s="132" t="s">
        <v>4413</v>
      </c>
      <c r="D4" s="132" t="s">
        <v>4414</v>
      </c>
      <c r="E4" s="133">
        <v>13836</v>
      </c>
      <c r="F4" s="133">
        <v>25</v>
      </c>
      <c r="G4" s="76"/>
      <c r="H4" s="76"/>
      <c r="I4" s="76"/>
    </row>
    <row r="5" spans="1:9" x14ac:dyDescent="0.3">
      <c r="A5" s="127"/>
      <c r="B5" s="131">
        <v>51186</v>
      </c>
      <c r="C5" s="132" t="s">
        <v>4415</v>
      </c>
      <c r="D5" s="132" t="s">
        <v>489</v>
      </c>
      <c r="E5" s="133">
        <v>11771</v>
      </c>
      <c r="F5" s="133">
        <v>32</v>
      </c>
      <c r="G5" s="76"/>
      <c r="H5" s="76"/>
      <c r="I5" s="76"/>
    </row>
    <row r="6" spans="1:9" x14ac:dyDescent="0.3">
      <c r="A6" s="127"/>
      <c r="B6" s="131">
        <v>51511</v>
      </c>
      <c r="C6" s="132" t="s">
        <v>4416</v>
      </c>
      <c r="D6" s="132" t="s">
        <v>414</v>
      </c>
      <c r="E6" s="133">
        <v>13046</v>
      </c>
      <c r="F6" s="133">
        <v>35</v>
      </c>
      <c r="G6" s="76"/>
      <c r="H6" s="76"/>
      <c r="I6" s="76"/>
    </row>
    <row r="7" spans="1:9" x14ac:dyDescent="0.3">
      <c r="A7" s="127"/>
      <c r="B7" s="131">
        <v>50890</v>
      </c>
      <c r="C7" s="132" t="s">
        <v>4417</v>
      </c>
      <c r="D7" s="132" t="s">
        <v>668</v>
      </c>
      <c r="E7" s="133">
        <v>18276</v>
      </c>
      <c r="F7" s="133">
        <v>32</v>
      </c>
      <c r="G7" s="76"/>
      <c r="H7" s="76"/>
      <c r="I7" s="76"/>
    </row>
    <row r="8" spans="1:9" x14ac:dyDescent="0.3">
      <c r="A8" s="127"/>
      <c r="B8" s="131">
        <v>53700</v>
      </c>
      <c r="C8" s="132" t="s">
        <v>4418</v>
      </c>
      <c r="D8" s="132" t="s">
        <v>611</v>
      </c>
      <c r="E8" s="133">
        <v>19327</v>
      </c>
      <c r="F8" s="133">
        <v>26</v>
      </c>
      <c r="G8" s="76"/>
      <c r="H8" s="76"/>
      <c r="I8" s="76"/>
    </row>
    <row r="9" spans="1:9" x14ac:dyDescent="0.3">
      <c r="A9" s="127"/>
      <c r="B9" s="131">
        <v>55879</v>
      </c>
      <c r="C9" s="132" t="s">
        <v>4419</v>
      </c>
      <c r="D9" s="132" t="s">
        <v>454</v>
      </c>
      <c r="E9" s="133">
        <v>18996</v>
      </c>
      <c r="F9" s="133">
        <v>35</v>
      </c>
      <c r="G9" s="76"/>
      <c r="H9" s="76"/>
      <c r="I9" s="76"/>
    </row>
    <row r="10" spans="1:9" x14ac:dyDescent="0.3">
      <c r="A10" s="127"/>
      <c r="B10" s="131">
        <v>59848</v>
      </c>
      <c r="C10" s="132" t="s">
        <v>4420</v>
      </c>
      <c r="D10" s="132" t="s">
        <v>414</v>
      </c>
      <c r="E10" s="133">
        <v>10387</v>
      </c>
      <c r="F10" s="133">
        <v>25</v>
      </c>
      <c r="G10" s="76"/>
      <c r="H10" s="76"/>
      <c r="I10" s="76"/>
    </row>
    <row r="11" spans="1:9" x14ac:dyDescent="0.3">
      <c r="A11" s="127"/>
      <c r="B11" s="131">
        <v>58369</v>
      </c>
      <c r="C11" s="132" t="s">
        <v>1109</v>
      </c>
      <c r="D11" s="132" t="s">
        <v>454</v>
      </c>
      <c r="E11" s="133">
        <v>12566</v>
      </c>
      <c r="F11" s="133">
        <v>37</v>
      </c>
      <c r="G11" s="76"/>
      <c r="H11" s="76"/>
      <c r="I11" s="76"/>
    </row>
    <row r="12" spans="1:9" x14ac:dyDescent="0.3">
      <c r="A12" s="127"/>
      <c r="B12" s="131">
        <v>50217</v>
      </c>
      <c r="C12" s="132" t="s">
        <v>4421</v>
      </c>
      <c r="D12" s="132" t="s">
        <v>547</v>
      </c>
      <c r="E12" s="133">
        <v>16406</v>
      </c>
      <c r="F12" s="133">
        <v>42</v>
      </c>
      <c r="G12" s="76"/>
      <c r="H12" s="76"/>
      <c r="I12" s="76"/>
    </row>
    <row r="13" spans="1:9" x14ac:dyDescent="0.3">
      <c r="A13" s="127"/>
      <c r="B13" s="131">
        <v>50695</v>
      </c>
      <c r="C13" s="132" t="s">
        <v>4422</v>
      </c>
      <c r="D13" s="132" t="s">
        <v>668</v>
      </c>
      <c r="E13" s="133">
        <v>15784</v>
      </c>
      <c r="F13" s="133">
        <v>43</v>
      </c>
      <c r="G13" s="76"/>
      <c r="H13" s="76"/>
      <c r="I13" s="76"/>
    </row>
    <row r="14" spans="1:9" x14ac:dyDescent="0.3">
      <c r="A14" s="127"/>
      <c r="B14" s="131">
        <v>59673</v>
      </c>
      <c r="C14" s="132" t="s">
        <v>4423</v>
      </c>
      <c r="D14" s="132" t="s">
        <v>4414</v>
      </c>
      <c r="E14" s="133">
        <v>10959</v>
      </c>
      <c r="F14" s="133">
        <v>30</v>
      </c>
      <c r="G14" s="76"/>
      <c r="H14" s="76"/>
      <c r="I14" s="76"/>
    </row>
    <row r="15" spans="1:9" x14ac:dyDescent="0.3">
      <c r="A15" s="127"/>
      <c r="B15" s="131">
        <v>52130</v>
      </c>
      <c r="C15" s="132" t="s">
        <v>4424</v>
      </c>
      <c r="D15" s="132" t="s">
        <v>421</v>
      </c>
      <c r="E15" s="133">
        <v>14562</v>
      </c>
      <c r="F15" s="133">
        <v>32</v>
      </c>
      <c r="G15" s="76"/>
      <c r="H15" s="76"/>
      <c r="I15" s="76"/>
    </row>
    <row r="16" spans="1:9" x14ac:dyDescent="0.3">
      <c r="A16" s="127"/>
      <c r="B16" s="76"/>
      <c r="C16" s="76"/>
      <c r="D16" s="76"/>
      <c r="E16" s="76"/>
      <c r="F16" s="76"/>
      <c r="G16" s="76"/>
      <c r="H16" s="76"/>
      <c r="I16" s="76"/>
    </row>
    <row r="17" spans="1:12" x14ac:dyDescent="0.3">
      <c r="A17" s="134">
        <v>1</v>
      </c>
      <c r="B17" s="76" t="s">
        <v>4425</v>
      </c>
      <c r="E17" s="135" t="str">
        <f>VLOOKUP(B11,B4:F15,2,)</f>
        <v>Thomas Davies</v>
      </c>
      <c r="F17" s="76"/>
      <c r="G17" s="76"/>
      <c r="H17" s="76"/>
      <c r="I17" s="76"/>
    </row>
    <row r="18" spans="1:12" x14ac:dyDescent="0.3">
      <c r="A18" s="127"/>
      <c r="B18" s="76"/>
      <c r="C18" s="76"/>
      <c r="D18" s="76"/>
      <c r="E18" s="76"/>
      <c r="F18" s="76"/>
      <c r="G18" s="76"/>
      <c r="H18" s="76"/>
      <c r="I18" s="76"/>
    </row>
    <row r="19" spans="1:12" x14ac:dyDescent="0.3">
      <c r="A19" s="134">
        <v>2</v>
      </c>
      <c r="B19" s="76" t="s">
        <v>4426</v>
      </c>
      <c r="D19" s="76"/>
      <c r="E19" s="135">
        <f>VLOOKUP(C14,C14:F15,4,)</f>
        <v>30</v>
      </c>
      <c r="F19" s="76"/>
      <c r="G19" s="76"/>
      <c r="H19" s="76"/>
      <c r="I19" s="76"/>
    </row>
    <row r="20" spans="1:12" x14ac:dyDescent="0.3">
      <c r="A20" s="127"/>
      <c r="B20" s="76"/>
      <c r="C20" s="76"/>
      <c r="D20" s="76"/>
      <c r="E20" s="76"/>
      <c r="F20" s="76"/>
      <c r="G20" s="76"/>
      <c r="H20" s="76"/>
      <c r="I20" s="76"/>
    </row>
    <row r="21" spans="1:12" x14ac:dyDescent="0.3">
      <c r="A21" s="134">
        <v>3</v>
      </c>
      <c r="B21" s="136" t="s">
        <v>4427</v>
      </c>
      <c r="C21" s="47"/>
      <c r="D21" s="47"/>
      <c r="E21" s="76"/>
      <c r="F21" s="76"/>
      <c r="G21" s="76"/>
      <c r="H21" s="76"/>
      <c r="I21" s="76"/>
    </row>
    <row r="22" spans="1:12" x14ac:dyDescent="0.3">
      <c r="A22" s="127"/>
      <c r="B22" s="76"/>
      <c r="C22" s="76"/>
      <c r="D22" s="76"/>
      <c r="E22" s="76"/>
      <c r="F22" s="76"/>
      <c r="G22" s="76"/>
      <c r="H22" s="76"/>
      <c r="I22" s="76"/>
    </row>
    <row r="23" spans="1:12" x14ac:dyDescent="0.3">
      <c r="A23" s="127"/>
      <c r="B23" s="137" t="s">
        <v>93</v>
      </c>
      <c r="C23" s="138" t="s">
        <v>4412</v>
      </c>
      <c r="D23" s="76"/>
      <c r="E23" s="76"/>
      <c r="F23" s="76"/>
      <c r="G23" s="76"/>
      <c r="H23" s="76"/>
      <c r="I23" s="76"/>
    </row>
    <row r="24" spans="1:12" x14ac:dyDescent="0.3">
      <c r="A24" s="127"/>
      <c r="B24" s="131">
        <v>55879</v>
      </c>
      <c r="C24" s="139" t="str">
        <f>VLOOKUP(B9,B4:F15,3,)</f>
        <v>Capetown</v>
      </c>
      <c r="D24" s="76"/>
      <c r="E24" s="76"/>
      <c r="F24" s="76"/>
      <c r="G24" s="76"/>
      <c r="H24" s="76"/>
      <c r="I24" s="76"/>
    </row>
    <row r="25" spans="1:12" x14ac:dyDescent="0.3">
      <c r="A25" s="127"/>
      <c r="B25" s="131">
        <v>50217</v>
      </c>
      <c r="C25" s="139" t="str">
        <f>VLOOKUP(B12,B4:F15,3,)</f>
        <v>Warsaw</v>
      </c>
      <c r="D25" s="76"/>
      <c r="E25" s="76"/>
      <c r="F25" s="76"/>
      <c r="G25" s="76"/>
      <c r="H25" s="76"/>
      <c r="I25" s="76"/>
    </row>
    <row r="26" spans="1:12" x14ac:dyDescent="0.3">
      <c r="A26" s="127"/>
      <c r="B26" s="131">
        <v>50695</v>
      </c>
      <c r="C26" s="139" t="str">
        <f>VLOOKUP(B13,B4:F15,3,)</f>
        <v>Cairo</v>
      </c>
      <c r="D26" s="76"/>
      <c r="E26" s="76"/>
      <c r="F26" s="76"/>
      <c r="G26" s="76"/>
      <c r="H26" s="76"/>
      <c r="I26" s="76"/>
    </row>
    <row r="27" spans="1:12" x14ac:dyDescent="0.3">
      <c r="A27" s="127"/>
      <c r="B27" s="76"/>
      <c r="C27" s="76"/>
      <c r="D27" s="76"/>
      <c r="E27" s="76"/>
      <c r="F27" s="76"/>
      <c r="G27" s="76"/>
      <c r="H27" s="76"/>
      <c r="I27" s="76"/>
    </row>
    <row r="28" spans="1:12" x14ac:dyDescent="0.3">
      <c r="A28" s="134">
        <v>4</v>
      </c>
      <c r="B28" s="136" t="s">
        <v>4428</v>
      </c>
      <c r="C28" s="47"/>
      <c r="D28" s="47"/>
      <c r="E28" s="76"/>
      <c r="F28" s="76"/>
      <c r="G28" s="76"/>
      <c r="H28" s="76"/>
      <c r="I28" s="76"/>
    </row>
    <row r="29" spans="1:12" x14ac:dyDescent="0.3">
      <c r="A29" s="127"/>
      <c r="B29" s="76"/>
      <c r="C29" s="76"/>
      <c r="D29" s="76"/>
      <c r="E29" s="76"/>
      <c r="F29" s="76"/>
      <c r="G29" s="76"/>
      <c r="H29" s="76"/>
      <c r="I29" s="76"/>
    </row>
    <row r="30" spans="1:12" x14ac:dyDescent="0.3">
      <c r="A30" s="127"/>
      <c r="B30" s="137" t="s">
        <v>1</v>
      </c>
      <c r="C30" s="138" t="s">
        <v>110</v>
      </c>
      <c r="D30" s="76"/>
      <c r="E30" s="129" t="s">
        <v>93</v>
      </c>
      <c r="F30" s="130" t="s">
        <v>1</v>
      </c>
      <c r="G30" s="130" t="s">
        <v>4412</v>
      </c>
      <c r="H30" s="130" t="s">
        <v>110</v>
      </c>
      <c r="I30" s="130" t="s">
        <v>144</v>
      </c>
      <c r="K30" s="140" t="s">
        <v>4429</v>
      </c>
    </row>
    <row r="31" spans="1:12" x14ac:dyDescent="0.3">
      <c r="A31" s="127"/>
      <c r="B31" s="141" t="s">
        <v>4417</v>
      </c>
      <c r="C31" s="139">
        <f>VLOOKUP(C7,C7:F9,3,)</f>
        <v>18276</v>
      </c>
      <c r="D31" s="76"/>
      <c r="E31" s="131">
        <v>56815</v>
      </c>
      <c r="F31" s="132" t="s">
        <v>4413</v>
      </c>
      <c r="G31" s="132" t="s">
        <v>4414</v>
      </c>
      <c r="H31" s="133">
        <v>13836</v>
      </c>
      <c r="I31" s="133">
        <v>25</v>
      </c>
      <c r="K31" t="s">
        <v>4430</v>
      </c>
      <c r="L31" t="s">
        <v>4431</v>
      </c>
    </row>
    <row r="32" spans="1:12" x14ac:dyDescent="0.3">
      <c r="A32" s="127"/>
      <c r="B32" s="141" t="s">
        <v>4432</v>
      </c>
      <c r="C32" s="139">
        <f>VLOOKUP(F33,F33:I33,3,)</f>
        <v>61524</v>
      </c>
      <c r="D32" s="76"/>
      <c r="E32" s="131">
        <v>51186</v>
      </c>
      <c r="F32" s="132" t="s">
        <v>4415</v>
      </c>
      <c r="G32" s="132" t="s">
        <v>489</v>
      </c>
      <c r="H32" s="133">
        <v>11771</v>
      </c>
      <c r="I32" s="133">
        <v>32</v>
      </c>
    </row>
    <row r="33" spans="1:9" x14ac:dyDescent="0.3">
      <c r="A33" s="127"/>
      <c r="B33" s="141" t="s">
        <v>4423</v>
      </c>
      <c r="C33" s="139">
        <f>VLOOKUP(C14,C14:F15,3,)</f>
        <v>10959</v>
      </c>
      <c r="D33" s="76"/>
      <c r="E33" s="131">
        <v>55111</v>
      </c>
      <c r="F33" s="132" t="s">
        <v>4432</v>
      </c>
      <c r="G33" s="132" t="s">
        <v>845</v>
      </c>
      <c r="H33" s="133">
        <v>61524</v>
      </c>
      <c r="I33" s="133">
        <v>77</v>
      </c>
    </row>
    <row r="34" spans="1:9" x14ac:dyDescent="0.3">
      <c r="A34" s="127"/>
      <c r="B34" s="76"/>
      <c r="C34" s="76"/>
      <c r="D34" s="76"/>
      <c r="E34" s="76"/>
      <c r="F34" s="76"/>
      <c r="G34" s="76"/>
      <c r="H34" s="76"/>
      <c r="I34" s="76"/>
    </row>
    <row r="35" spans="1:9" x14ac:dyDescent="0.3">
      <c r="A35" s="127"/>
      <c r="B35" s="76"/>
      <c r="C35" s="76"/>
      <c r="D35" s="76"/>
      <c r="E35" s="76"/>
      <c r="F35" s="76"/>
      <c r="G35" s="76"/>
      <c r="H35" s="76"/>
      <c r="I35" s="76"/>
    </row>
    <row r="36" spans="1:9" x14ac:dyDescent="0.3">
      <c r="A36" s="127"/>
      <c r="B36" s="76"/>
      <c r="C36" s="76"/>
      <c r="D36" s="76"/>
      <c r="E36" s="76"/>
      <c r="F36" s="76"/>
      <c r="G36" s="76"/>
      <c r="H36" s="76"/>
      <c r="I36" s="76"/>
    </row>
    <row r="37" spans="1:9" x14ac:dyDescent="0.3">
      <c r="A37" s="127"/>
      <c r="B37" s="76"/>
      <c r="C37" s="76"/>
      <c r="D37" s="76"/>
      <c r="E37" s="76"/>
      <c r="F37" s="76"/>
      <c r="G37" s="76"/>
      <c r="H37" s="76"/>
      <c r="I37" s="76"/>
    </row>
  </sheetData>
  <mergeCells count="3">
    <mergeCell ref="B1:E1"/>
    <mergeCell ref="B21:D21"/>
    <mergeCell ref="B28:D28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D6E0C-A4ED-4DBF-B947-54617C02F33A}">
  <dimension ref="A1:K49"/>
  <sheetViews>
    <sheetView tabSelected="1" workbookViewId="0">
      <selection activeCell="R19" sqref="R19"/>
    </sheetView>
  </sheetViews>
  <sheetFormatPr defaultColWidth="8.6640625" defaultRowHeight="13.8" outlineLevelRow="1" x14ac:dyDescent="0.3"/>
  <cols>
    <col min="1" max="1" width="2.5546875" style="142" bestFit="1" customWidth="1"/>
    <col min="2" max="2" width="15.6640625" style="142" bestFit="1" customWidth="1"/>
    <col min="3" max="3" width="12.33203125" style="142" bestFit="1" customWidth="1"/>
    <col min="4" max="4" width="8.44140625" style="142" bestFit="1" customWidth="1"/>
    <col min="5" max="5" width="11.44140625" style="142" bestFit="1" customWidth="1"/>
    <col min="6" max="16384" width="8.6640625" style="142"/>
  </cols>
  <sheetData>
    <row r="1" spans="2:7" x14ac:dyDescent="0.3">
      <c r="B1" s="115" t="s">
        <v>4433</v>
      </c>
    </row>
    <row r="2" spans="2:7" x14ac:dyDescent="0.3">
      <c r="B2" s="143" t="s">
        <v>1</v>
      </c>
      <c r="C2" s="143" t="s">
        <v>144</v>
      </c>
      <c r="D2" s="143" t="s">
        <v>4434</v>
      </c>
      <c r="E2" s="143" t="s">
        <v>4435</v>
      </c>
    </row>
    <row r="3" spans="2:7" x14ac:dyDescent="0.3">
      <c r="B3" s="144" t="s">
        <v>4436</v>
      </c>
      <c r="C3" s="144">
        <v>35</v>
      </c>
      <c r="D3" s="144" t="s">
        <v>4437</v>
      </c>
      <c r="E3" s="144" t="s">
        <v>4438</v>
      </c>
    </row>
    <row r="4" spans="2:7" x14ac:dyDescent="0.3">
      <c r="B4" s="144" t="s">
        <v>4439</v>
      </c>
      <c r="C4" s="144">
        <v>42</v>
      </c>
      <c r="D4" s="144" t="s">
        <v>4440</v>
      </c>
      <c r="E4" s="144" t="s">
        <v>4441</v>
      </c>
    </row>
    <row r="5" spans="2:7" x14ac:dyDescent="0.3">
      <c r="B5" s="144" t="s">
        <v>97</v>
      </c>
      <c r="C5" s="144">
        <v>28</v>
      </c>
      <c r="D5" s="144" t="s">
        <v>4437</v>
      </c>
      <c r="E5" s="144" t="s">
        <v>4442</v>
      </c>
    </row>
    <row r="6" spans="2:7" x14ac:dyDescent="0.3">
      <c r="B6" s="144" t="s">
        <v>4443</v>
      </c>
      <c r="C6" s="144">
        <v>25</v>
      </c>
      <c r="D6" s="144" t="s">
        <v>4440</v>
      </c>
      <c r="E6" s="144" t="s">
        <v>106</v>
      </c>
    </row>
    <row r="7" spans="2:7" x14ac:dyDescent="0.3">
      <c r="B7" s="144" t="s">
        <v>4444</v>
      </c>
      <c r="C7" s="144">
        <v>31</v>
      </c>
      <c r="D7" s="144" t="s">
        <v>4437</v>
      </c>
      <c r="E7" s="144" t="s">
        <v>107</v>
      </c>
    </row>
    <row r="8" spans="2:7" x14ac:dyDescent="0.3">
      <c r="B8" s="144" t="s">
        <v>4445</v>
      </c>
      <c r="C8" s="144">
        <v>27</v>
      </c>
      <c r="D8" s="144" t="s">
        <v>4440</v>
      </c>
      <c r="E8" s="144" t="s">
        <v>4446</v>
      </c>
    </row>
    <row r="9" spans="2:7" x14ac:dyDescent="0.3">
      <c r="B9" s="144" t="s">
        <v>4447</v>
      </c>
      <c r="C9" s="144">
        <v>38</v>
      </c>
      <c r="D9" s="144" t="s">
        <v>4437</v>
      </c>
      <c r="E9" s="144" t="s">
        <v>4448</v>
      </c>
    </row>
    <row r="10" spans="2:7" x14ac:dyDescent="0.3">
      <c r="B10" s="144" t="s">
        <v>4449</v>
      </c>
      <c r="C10" s="144">
        <v>29</v>
      </c>
      <c r="D10" s="144" t="s">
        <v>4440</v>
      </c>
      <c r="E10" s="144" t="s">
        <v>4450</v>
      </c>
    </row>
    <row r="11" spans="2:7" x14ac:dyDescent="0.3">
      <c r="B11" s="144" t="s">
        <v>4451</v>
      </c>
      <c r="C11" s="144">
        <v>45</v>
      </c>
      <c r="D11" s="144" t="s">
        <v>4437</v>
      </c>
      <c r="E11" s="144" t="s">
        <v>4452</v>
      </c>
    </row>
    <row r="12" spans="2:7" x14ac:dyDescent="0.3">
      <c r="B12" s="144" t="s">
        <v>4453</v>
      </c>
      <c r="C12" s="144">
        <v>33</v>
      </c>
      <c r="D12" s="144" t="s">
        <v>4440</v>
      </c>
      <c r="E12" s="144" t="s">
        <v>4454</v>
      </c>
    </row>
    <row r="15" spans="2:7" x14ac:dyDescent="0.3">
      <c r="B15" s="145" t="s">
        <v>4334</v>
      </c>
    </row>
    <row r="16" spans="2:7" x14ac:dyDescent="0.3">
      <c r="G16" s="142" t="s">
        <v>4455</v>
      </c>
    </row>
    <row r="17" spans="1:11" x14ac:dyDescent="0.3">
      <c r="A17" s="142">
        <v>1</v>
      </c>
      <c r="B17" s="142" t="s">
        <v>4456</v>
      </c>
    </row>
    <row r="18" spans="1:11" x14ac:dyDescent="0.3">
      <c r="C18" s="114" t="s">
        <v>4337</v>
      </c>
      <c r="D18" s="114"/>
    </row>
    <row r="19" spans="1:11" x14ac:dyDescent="0.3">
      <c r="B19" s="115" t="s">
        <v>114</v>
      </c>
      <c r="C19" s="116" t="str">
        <f>VLOOKUP(B4,B3:E12,4,)</f>
        <v>Data Scientist</v>
      </c>
    </row>
    <row r="20" spans="1:11" hidden="1" outlineLevel="1" x14ac:dyDescent="0.3">
      <c r="B20" s="146"/>
      <c r="C20" s="146"/>
      <c r="D20" s="146"/>
      <c r="E20" s="146"/>
      <c r="F20" s="146"/>
      <c r="G20" s="146"/>
      <c r="H20" s="146"/>
      <c r="I20" s="146"/>
      <c r="J20" s="146"/>
      <c r="K20" s="146"/>
    </row>
    <row r="21" spans="1:11" hidden="1" outlineLevel="1" x14ac:dyDescent="0.3">
      <c r="B21" s="146"/>
      <c r="C21" s="146"/>
      <c r="D21" s="146"/>
      <c r="E21" s="146"/>
      <c r="F21" s="146"/>
      <c r="G21" s="146"/>
      <c r="H21" s="146"/>
      <c r="I21" s="146"/>
      <c r="J21" s="146"/>
      <c r="K21" s="146"/>
    </row>
    <row r="22" spans="1:11" hidden="1" outlineLevel="1" x14ac:dyDescent="0.3">
      <c r="B22" s="146"/>
      <c r="C22" s="146"/>
      <c r="D22" s="146"/>
      <c r="E22" s="146"/>
      <c r="F22" s="146"/>
      <c r="G22" s="146"/>
      <c r="H22" s="146"/>
      <c r="I22" s="146"/>
      <c r="J22" s="146"/>
      <c r="K22" s="146"/>
    </row>
    <row r="23" spans="1:11" hidden="1" outlineLevel="1" x14ac:dyDescent="0.3">
      <c r="B23" s="146"/>
      <c r="C23" s="146"/>
      <c r="D23" s="146"/>
      <c r="E23" s="146"/>
      <c r="F23" s="146"/>
      <c r="G23" s="146"/>
      <c r="H23" s="146"/>
      <c r="I23" s="146"/>
      <c r="J23" s="146"/>
      <c r="K23" s="146"/>
    </row>
    <row r="24" spans="1:11" hidden="1" outlineLevel="1" x14ac:dyDescent="0.3">
      <c r="B24" s="146"/>
      <c r="C24" s="146"/>
      <c r="D24" s="146"/>
      <c r="E24" s="146"/>
      <c r="F24" s="146"/>
      <c r="G24" s="146"/>
      <c r="H24" s="146"/>
      <c r="I24" s="146"/>
      <c r="J24" s="146"/>
      <c r="K24" s="146"/>
    </row>
    <row r="25" spans="1:11" hidden="1" outlineLevel="1" x14ac:dyDescent="0.3">
      <c r="B25" s="146"/>
      <c r="C25" s="146"/>
      <c r="D25" s="146"/>
      <c r="E25" s="146"/>
      <c r="F25" s="146"/>
      <c r="G25" s="146"/>
      <c r="H25" s="146"/>
      <c r="I25" s="146"/>
      <c r="J25" s="146"/>
      <c r="K25" s="146"/>
    </row>
    <row r="26" spans="1:11" hidden="1" outlineLevel="1" x14ac:dyDescent="0.3">
      <c r="B26" s="146"/>
      <c r="C26" s="146"/>
      <c r="D26" s="146"/>
      <c r="E26" s="146"/>
      <c r="F26" s="146"/>
      <c r="G26" s="146"/>
      <c r="H26" s="146"/>
      <c r="I26" s="146"/>
      <c r="J26" s="146"/>
      <c r="K26" s="146"/>
    </row>
    <row r="27" spans="1:11" collapsed="1" x14ac:dyDescent="0.3"/>
    <row r="28" spans="1:11" x14ac:dyDescent="0.3">
      <c r="A28" s="142">
        <v>2</v>
      </c>
      <c r="B28" s="142" t="s">
        <v>4457</v>
      </c>
    </row>
    <row r="29" spans="1:11" x14ac:dyDescent="0.3">
      <c r="C29" s="114" t="s">
        <v>4337</v>
      </c>
      <c r="D29" s="114"/>
    </row>
    <row r="30" spans="1:11" x14ac:dyDescent="0.3">
      <c r="B30" s="115" t="s">
        <v>114</v>
      </c>
      <c r="C30" s="116">
        <f>VLOOKUP(B11,B3:E12,2,)</f>
        <v>45</v>
      </c>
    </row>
    <row r="31" spans="1:11" hidden="1" outlineLevel="1" x14ac:dyDescent="0.3">
      <c r="B31" s="146"/>
      <c r="C31" s="146"/>
      <c r="D31" s="146"/>
      <c r="E31" s="146"/>
      <c r="F31" s="146"/>
      <c r="G31" s="146"/>
      <c r="H31" s="146"/>
      <c r="I31" s="146"/>
      <c r="J31" s="146"/>
      <c r="K31" s="146"/>
    </row>
    <row r="32" spans="1:11" hidden="1" outlineLevel="1" x14ac:dyDescent="0.3">
      <c r="B32" s="146"/>
      <c r="C32" s="146"/>
      <c r="D32" s="146"/>
      <c r="E32" s="146"/>
      <c r="F32" s="146"/>
      <c r="G32" s="146"/>
      <c r="H32" s="146"/>
      <c r="I32" s="146"/>
      <c r="J32" s="146"/>
      <c r="K32" s="146"/>
    </row>
    <row r="33" spans="1:11" hidden="1" outlineLevel="1" x14ac:dyDescent="0.3">
      <c r="B33" s="146"/>
      <c r="C33" s="146"/>
      <c r="D33" s="146"/>
      <c r="E33" s="146"/>
      <c r="F33" s="146"/>
      <c r="G33" s="146"/>
      <c r="H33" s="146"/>
      <c r="I33" s="146"/>
      <c r="J33" s="146"/>
      <c r="K33" s="146"/>
    </row>
    <row r="34" spans="1:11" hidden="1" outlineLevel="1" x14ac:dyDescent="0.3">
      <c r="B34" s="146"/>
      <c r="C34" s="146"/>
      <c r="D34" s="146"/>
      <c r="E34" s="146"/>
      <c r="F34" s="146"/>
      <c r="G34" s="146"/>
      <c r="H34" s="146"/>
      <c r="I34" s="146"/>
      <c r="J34" s="146"/>
      <c r="K34" s="146"/>
    </row>
    <row r="35" spans="1:11" hidden="1" outlineLevel="1" x14ac:dyDescent="0.3">
      <c r="B35" s="146"/>
      <c r="C35" s="146"/>
      <c r="D35" s="146"/>
      <c r="E35" s="146"/>
      <c r="F35" s="146"/>
      <c r="G35" s="146"/>
      <c r="H35" s="146"/>
      <c r="I35" s="146"/>
      <c r="J35" s="146"/>
      <c r="K35" s="146"/>
    </row>
    <row r="36" spans="1:11" hidden="1" outlineLevel="1" x14ac:dyDescent="0.3">
      <c r="B36" s="146"/>
      <c r="C36" s="146"/>
      <c r="D36" s="146"/>
      <c r="E36" s="146"/>
      <c r="F36" s="146"/>
      <c r="G36" s="146"/>
      <c r="H36" s="146"/>
      <c r="I36" s="146"/>
      <c r="J36" s="146"/>
      <c r="K36" s="146"/>
    </row>
    <row r="37" spans="1:11" hidden="1" outlineLevel="1" x14ac:dyDescent="0.3">
      <c r="B37" s="146"/>
      <c r="C37" s="146"/>
      <c r="D37" s="146"/>
      <c r="E37" s="146"/>
      <c r="F37" s="146"/>
      <c r="G37" s="146"/>
      <c r="H37" s="146"/>
      <c r="I37" s="146"/>
      <c r="J37" s="146"/>
      <c r="K37" s="146"/>
    </row>
    <row r="38" spans="1:11" collapsed="1" x14ac:dyDescent="0.3"/>
    <row r="39" spans="1:11" x14ac:dyDescent="0.3">
      <c r="A39" s="142">
        <v>2</v>
      </c>
      <c r="B39" s="142" t="s">
        <v>4458</v>
      </c>
    </row>
    <row r="40" spans="1:11" x14ac:dyDescent="0.3">
      <c r="C40" s="114" t="s">
        <v>4337</v>
      </c>
      <c r="D40" s="114"/>
    </row>
    <row r="41" spans="1:11" x14ac:dyDescent="0.3">
      <c r="B41" s="115" t="s">
        <v>114</v>
      </c>
      <c r="C41" s="116" t="str">
        <f>VLOOKUP("B*",B3:E12,4,)</f>
        <v>Accountant</v>
      </c>
    </row>
    <row r="42" spans="1:11" ht="12.9" hidden="1" customHeight="1" outlineLevel="1" x14ac:dyDescent="0.3">
      <c r="B42" s="146"/>
      <c r="C42" s="146"/>
      <c r="D42" s="146"/>
      <c r="E42" s="146"/>
      <c r="F42" s="146"/>
      <c r="G42" s="146"/>
      <c r="H42" s="146"/>
      <c r="I42" s="146"/>
      <c r="J42" s="146"/>
      <c r="K42" s="146"/>
    </row>
    <row r="43" spans="1:11" hidden="1" outlineLevel="1" x14ac:dyDescent="0.3">
      <c r="B43" s="146"/>
      <c r="C43" s="146"/>
      <c r="D43" s="146"/>
      <c r="E43" s="146"/>
      <c r="F43" s="146"/>
      <c r="G43" s="146"/>
      <c r="H43" s="146"/>
      <c r="I43" s="146"/>
      <c r="J43" s="146"/>
      <c r="K43" s="146"/>
    </row>
    <row r="44" spans="1:11" hidden="1" outlineLevel="1" x14ac:dyDescent="0.3">
      <c r="B44" s="146"/>
      <c r="C44" s="146"/>
      <c r="D44" s="146"/>
      <c r="E44" s="146"/>
      <c r="F44" s="146"/>
      <c r="G44" s="146"/>
      <c r="H44" s="146"/>
      <c r="I44" s="146"/>
      <c r="J44" s="146"/>
      <c r="K44" s="146"/>
    </row>
    <row r="45" spans="1:11" hidden="1" outlineLevel="1" x14ac:dyDescent="0.3">
      <c r="B45" s="146"/>
      <c r="C45" s="146"/>
      <c r="D45" s="146"/>
      <c r="E45" s="146"/>
      <c r="F45" s="146"/>
      <c r="G45" s="146"/>
      <c r="H45" s="146"/>
      <c r="I45" s="146"/>
      <c r="J45" s="146"/>
      <c r="K45" s="146"/>
    </row>
    <row r="46" spans="1:11" hidden="1" outlineLevel="1" x14ac:dyDescent="0.3">
      <c r="B46" s="146"/>
      <c r="C46" s="146"/>
      <c r="D46" s="146"/>
      <c r="E46" s="146"/>
      <c r="F46" s="146"/>
      <c r="G46" s="146"/>
      <c r="H46" s="146"/>
      <c r="I46" s="146"/>
      <c r="J46" s="146"/>
      <c r="K46" s="146"/>
    </row>
    <row r="47" spans="1:11" hidden="1" outlineLevel="1" x14ac:dyDescent="0.3">
      <c r="B47" s="146"/>
      <c r="C47" s="146"/>
      <c r="D47" s="146"/>
      <c r="E47" s="146"/>
      <c r="F47" s="146"/>
      <c r="G47" s="146"/>
      <c r="H47" s="146"/>
      <c r="I47" s="146"/>
      <c r="J47" s="146"/>
      <c r="K47" s="146"/>
    </row>
    <row r="48" spans="1:11" hidden="1" outlineLevel="1" x14ac:dyDescent="0.3">
      <c r="B48" s="146"/>
      <c r="C48" s="146"/>
      <c r="D48" s="146"/>
      <c r="E48" s="146"/>
      <c r="F48" s="146"/>
      <c r="G48" s="146"/>
      <c r="H48" s="146"/>
      <c r="I48" s="146"/>
      <c r="J48" s="146"/>
      <c r="K48" s="146"/>
    </row>
    <row r="49" s="142" customFormat="1" collapsed="1" x14ac:dyDescent="0.3"/>
  </sheetData>
  <mergeCells count="3">
    <mergeCell ref="B20:K26"/>
    <mergeCell ref="B31:K37"/>
    <mergeCell ref="B42:K4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Average 1 (4)</vt:lpstr>
      <vt:lpstr>Average 3</vt:lpstr>
      <vt:lpstr>Count 1</vt:lpstr>
      <vt:lpstr>Count 2</vt:lpstr>
      <vt:lpstr>Count 3</vt:lpstr>
      <vt:lpstr>HLOOKUP</vt:lpstr>
      <vt:lpstr>IF 1 (1)</vt:lpstr>
      <vt:lpstr>IF 2</vt:lpstr>
      <vt:lpstr>IF 3</vt:lpstr>
      <vt:lpstr>IF 4</vt:lpstr>
      <vt:lpstr>LEC MACROS 1.1 TASK1</vt:lpstr>
      <vt:lpstr>LEC MACROS 1.1 ANS1</vt:lpstr>
      <vt:lpstr>LEC MACROS 1.1 TASK2</vt:lpstr>
      <vt:lpstr>LEC MACROS 1.1 ANS2</vt:lpstr>
      <vt:lpstr>MAX MIN 1</vt:lpstr>
      <vt:lpstr>MAX MIN 2</vt:lpstr>
      <vt:lpstr>MAX MIN 3</vt:lpstr>
      <vt:lpstr>MATH 1</vt:lpstr>
      <vt:lpstr>NESTED IF</vt:lpstr>
      <vt:lpstr>PRACTISE DATA</vt:lpstr>
      <vt:lpstr>SUM1 </vt:lpstr>
      <vt:lpstr>SUM2</vt:lpstr>
      <vt:lpstr>SUM3</vt:lpstr>
      <vt:lpstr>SUMIF1</vt:lpstr>
      <vt:lpstr>SUMIF2</vt:lpstr>
      <vt:lpstr>VBA_TASK</vt:lpstr>
      <vt:lpstr>VBA_ANS</vt:lpstr>
      <vt:lpstr>VLOOKUP-APPROXIMATE MATCH</vt:lpstr>
      <vt:lpstr>VLOOK 1</vt:lpstr>
      <vt:lpstr>VLOOK UP 2a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Meet</dc:creator>
  <cp:lastModifiedBy>Meet Jain</cp:lastModifiedBy>
  <dcterms:created xsi:type="dcterms:W3CDTF">2015-06-05T18:17:20Z</dcterms:created>
  <dcterms:modified xsi:type="dcterms:W3CDTF">2025-03-25T16:10:03Z</dcterms:modified>
</cp:coreProperties>
</file>